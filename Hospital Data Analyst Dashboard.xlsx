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C:\Users\pc\Documents\"/>
    </mc:Choice>
  </mc:AlternateContent>
  <bookViews>
    <workbookView xWindow="0" yWindow="0" windowWidth="19200" windowHeight="6820" firstSheet="2" activeTab="2"/>
  </bookViews>
  <sheets>
    <sheet name="Practice File" sheetId="1" r:id="rId1"/>
    <sheet name="Total Patient By Departments" sheetId="4" r:id="rId2"/>
    <sheet name="Dashboard" sheetId="5" r:id="rId3"/>
    <sheet name="Total Bil_ Amount By Departmen " sheetId="6" r:id="rId4"/>
    <sheet name="Visit_type Wise Total Patients" sheetId="7" r:id="rId5"/>
    <sheet name="Total Amount by  Payment_method" sheetId="8" r:id="rId6"/>
    <sheet name="Total Patients Months Wise" sheetId="9" r:id="rId7"/>
    <sheet name="Total Bill_Amount By Visit_type" sheetId="10" r:id="rId8"/>
    <sheet name="Sheet1" sheetId="11" r:id="rId9"/>
    <sheet name="HMS DATA" sheetId="3" r:id="rId10"/>
  </sheets>
  <definedNames>
    <definedName name="_xlnm._FilterDatabase" localSheetId="9" hidden="1">'HMS DATA'!$A$1:$J$126</definedName>
    <definedName name="_xlnm._FilterDatabase" localSheetId="0" hidden="1">'Practice File'!$A$1:$J$26</definedName>
    <definedName name="Slicer_Gender">#N/A</definedName>
  </definedNames>
  <calcPr calcId="162913"/>
  <pivotCaches>
    <pivotCache cacheId="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2" i="1" l="1"/>
  <c r="Y2" i="1"/>
  <c r="Z2" i="1"/>
  <c r="AA2" i="1"/>
  <c r="AB2" i="1"/>
  <c r="AC2" i="1"/>
  <c r="AD2" i="1"/>
  <c r="AE2" i="1"/>
  <c r="W2" i="1"/>
  <c r="T3" i="1" l="1"/>
  <c r="T4" i="1"/>
  <c r="T2" i="1"/>
  <c r="Q2" i="1"/>
  <c r="Q3" i="1"/>
  <c r="Q4" i="1"/>
  <c r="Q5" i="1"/>
  <c r="Q6" i="1"/>
  <c r="P3" i="1"/>
  <c r="P4" i="1"/>
  <c r="P5" i="1"/>
  <c r="P6" i="1"/>
  <c r="P2" i="1"/>
  <c r="M3" i="1"/>
  <c r="M4" i="1"/>
  <c r="M5" i="1"/>
  <c r="M6" i="1"/>
  <c r="M2" i="1"/>
  <c r="T5" i="1" l="1"/>
</calcChain>
</file>

<file path=xl/sharedStrings.xml><?xml version="1.0" encoding="utf-8"?>
<sst xmlns="http://schemas.openxmlformats.org/spreadsheetml/2006/main" count="1855" uniqueCount="275">
  <si>
    <t>Patient_ID</t>
  </si>
  <si>
    <t>Patient_Name</t>
  </si>
  <si>
    <t>Age</t>
  </si>
  <si>
    <t>Gender</t>
  </si>
  <si>
    <t>Department</t>
  </si>
  <si>
    <t>Doctor</t>
  </si>
  <si>
    <t>Visit_Type</t>
  </si>
  <si>
    <t>Payment_Method</t>
  </si>
  <si>
    <t>Visit_Date</t>
  </si>
  <si>
    <t>Bill_Amount</t>
  </si>
  <si>
    <t>Ali</t>
  </si>
  <si>
    <t>Male</t>
  </si>
  <si>
    <t>Cardiology</t>
  </si>
  <si>
    <t>Dr Ahmed</t>
  </si>
  <si>
    <t>OPD</t>
  </si>
  <si>
    <t>Cash</t>
  </si>
  <si>
    <t>P002</t>
  </si>
  <si>
    <t>Sara</t>
  </si>
  <si>
    <t>Female</t>
  </si>
  <si>
    <t>Neurology</t>
  </si>
  <si>
    <t>Dr Khan</t>
  </si>
  <si>
    <t>Card</t>
  </si>
  <si>
    <t>P003</t>
  </si>
  <si>
    <t>Hamza</t>
  </si>
  <si>
    <t>Orthopedics</t>
  </si>
  <si>
    <t>Dr Ali</t>
  </si>
  <si>
    <t>Emergency</t>
  </si>
  <si>
    <t>P004</t>
  </si>
  <si>
    <t>Ayesha</t>
  </si>
  <si>
    <t>Pediatrics</t>
  </si>
  <si>
    <t>Dr Sana</t>
  </si>
  <si>
    <t>Online</t>
  </si>
  <si>
    <t>P005</t>
  </si>
  <si>
    <t>Usman</t>
  </si>
  <si>
    <t>Admission</t>
  </si>
  <si>
    <t>P006</t>
  </si>
  <si>
    <t>Fatima</t>
  </si>
  <si>
    <t>P007</t>
  </si>
  <si>
    <t>Bilal</t>
  </si>
  <si>
    <t>Dermatology</t>
  </si>
  <si>
    <t>Dr Hina</t>
  </si>
  <si>
    <t>P008</t>
  </si>
  <si>
    <t>Maria</t>
  </si>
  <si>
    <t>P009</t>
  </si>
  <si>
    <t>Omar</t>
  </si>
  <si>
    <t>P010</t>
  </si>
  <si>
    <t>Zainab</t>
  </si>
  <si>
    <t>P011</t>
  </si>
  <si>
    <t>Danish</t>
  </si>
  <si>
    <t>P012</t>
  </si>
  <si>
    <t>Hira</t>
  </si>
  <si>
    <t>P013</t>
  </si>
  <si>
    <t>Ahmed</t>
  </si>
  <si>
    <t>P014</t>
  </si>
  <si>
    <t>Laiba</t>
  </si>
  <si>
    <t>P015</t>
  </si>
  <si>
    <t>Shahid</t>
  </si>
  <si>
    <t>P016</t>
  </si>
  <si>
    <t>Iqra</t>
  </si>
  <si>
    <t>P017</t>
  </si>
  <si>
    <t>Waqas</t>
  </si>
  <si>
    <t>P018</t>
  </si>
  <si>
    <t>Noor</t>
  </si>
  <si>
    <t>P019</t>
  </si>
  <si>
    <t>Arslan</t>
  </si>
  <si>
    <t>P020</t>
  </si>
  <si>
    <t>Mahnoor</t>
  </si>
  <si>
    <t>P021</t>
  </si>
  <si>
    <t>Salman</t>
  </si>
  <si>
    <t>P022</t>
  </si>
  <si>
    <t>Anum</t>
  </si>
  <si>
    <t>P023</t>
  </si>
  <si>
    <t>Rehan</t>
  </si>
  <si>
    <t>P024</t>
  </si>
  <si>
    <t>Sana</t>
  </si>
  <si>
    <t>P025</t>
  </si>
  <si>
    <t>Kamran</t>
  </si>
  <si>
    <t>P026</t>
  </si>
  <si>
    <t>Adeel</t>
  </si>
  <si>
    <t>P027</t>
  </si>
  <si>
    <t>Maryam</t>
  </si>
  <si>
    <t>P028</t>
  </si>
  <si>
    <t>Junaid</t>
  </si>
  <si>
    <t>P029</t>
  </si>
  <si>
    <t>Komal</t>
  </si>
  <si>
    <t>P030</t>
  </si>
  <si>
    <t>Imran</t>
  </si>
  <si>
    <t>P031</t>
  </si>
  <si>
    <t>Rabia</t>
  </si>
  <si>
    <t>P032</t>
  </si>
  <si>
    <t>Farhan</t>
  </si>
  <si>
    <t>P033</t>
  </si>
  <si>
    <t>Nadia</t>
  </si>
  <si>
    <t>P034</t>
  </si>
  <si>
    <t>Tariq</t>
  </si>
  <si>
    <t>P035</t>
  </si>
  <si>
    <t>Sidra</t>
  </si>
  <si>
    <t>P036</t>
  </si>
  <si>
    <t>Asad</t>
  </si>
  <si>
    <t>P037</t>
  </si>
  <si>
    <t>Maham</t>
  </si>
  <si>
    <t>P038</t>
  </si>
  <si>
    <t>Naveed</t>
  </si>
  <si>
    <t>P039</t>
  </si>
  <si>
    <t>Eman</t>
  </si>
  <si>
    <t>P040</t>
  </si>
  <si>
    <t>Adnan</t>
  </si>
  <si>
    <t>P041</t>
  </si>
  <si>
    <t>Sehrish</t>
  </si>
  <si>
    <t>P042</t>
  </si>
  <si>
    <t>Zohaib</t>
  </si>
  <si>
    <t>P043</t>
  </si>
  <si>
    <t>Amna</t>
  </si>
  <si>
    <t>P044</t>
  </si>
  <si>
    <t>Faisal</t>
  </si>
  <si>
    <t>P045</t>
  </si>
  <si>
    <t>Alina</t>
  </si>
  <si>
    <t>P046</t>
  </si>
  <si>
    <t>Hassan</t>
  </si>
  <si>
    <t>P047</t>
  </si>
  <si>
    <t>Misbah</t>
  </si>
  <si>
    <t>P048</t>
  </si>
  <si>
    <t>Shahzaib</t>
  </si>
  <si>
    <t>P049</t>
  </si>
  <si>
    <t>Minahil</t>
  </si>
  <si>
    <t>P050</t>
  </si>
  <si>
    <t>Irfan</t>
  </si>
  <si>
    <t>P051</t>
  </si>
  <si>
    <t>Azhar</t>
  </si>
  <si>
    <t>P052</t>
  </si>
  <si>
    <t>Sumbal</t>
  </si>
  <si>
    <t>P053</t>
  </si>
  <si>
    <t>Yasir</t>
  </si>
  <si>
    <t>P054</t>
  </si>
  <si>
    <t>Shazia</t>
  </si>
  <si>
    <t>P055</t>
  </si>
  <si>
    <t>Usama</t>
  </si>
  <si>
    <t>P056</t>
  </si>
  <si>
    <t>Anaya</t>
  </si>
  <si>
    <t>P057</t>
  </si>
  <si>
    <t>Salik</t>
  </si>
  <si>
    <t>P058</t>
  </si>
  <si>
    <t>Kinza</t>
  </si>
  <si>
    <t>P059</t>
  </si>
  <si>
    <t>Awais</t>
  </si>
  <si>
    <t>P060</t>
  </si>
  <si>
    <t>Mahira</t>
  </si>
  <si>
    <t>P061</t>
  </si>
  <si>
    <t>Rehman</t>
  </si>
  <si>
    <t>P062</t>
  </si>
  <si>
    <t>Hafsa</t>
  </si>
  <si>
    <t>P063</t>
  </si>
  <si>
    <t>P064</t>
  </si>
  <si>
    <t>Saad</t>
  </si>
  <si>
    <t>P065</t>
  </si>
  <si>
    <t>Areeba</t>
  </si>
  <si>
    <t>P066</t>
  </si>
  <si>
    <t>Shayan</t>
  </si>
  <si>
    <t>P067</t>
  </si>
  <si>
    <t>Tooba</t>
  </si>
  <si>
    <t>P068</t>
  </si>
  <si>
    <t>Arham</t>
  </si>
  <si>
    <t>P069</t>
  </si>
  <si>
    <t>Anusha</t>
  </si>
  <si>
    <t>P070</t>
  </si>
  <si>
    <t>Noman</t>
  </si>
  <si>
    <t>P071</t>
  </si>
  <si>
    <t>Humaira</t>
  </si>
  <si>
    <t>P072</t>
  </si>
  <si>
    <t>Rizwan</t>
  </si>
  <si>
    <t>P073</t>
  </si>
  <si>
    <t>Saira</t>
  </si>
  <si>
    <t>P074</t>
  </si>
  <si>
    <t>Waleed</t>
  </si>
  <si>
    <t>P075</t>
  </si>
  <si>
    <t>Momina</t>
  </si>
  <si>
    <t>P076</t>
  </si>
  <si>
    <t>Shahab</t>
  </si>
  <si>
    <t>P077</t>
  </si>
  <si>
    <t>Irum</t>
  </si>
  <si>
    <t>P078</t>
  </si>
  <si>
    <t>Kashif</t>
  </si>
  <si>
    <t>P079</t>
  </si>
  <si>
    <t>Neha</t>
  </si>
  <si>
    <t>P080</t>
  </si>
  <si>
    <t>Sohail</t>
  </si>
  <si>
    <t>P081</t>
  </si>
  <si>
    <t>Shahida</t>
  </si>
  <si>
    <t>P082</t>
  </si>
  <si>
    <t>Haris</t>
  </si>
  <si>
    <t>P083</t>
  </si>
  <si>
    <t>P084</t>
  </si>
  <si>
    <t>Rauf</t>
  </si>
  <si>
    <t>P085</t>
  </si>
  <si>
    <t>Samira</t>
  </si>
  <si>
    <t>P086</t>
  </si>
  <si>
    <t>Shahryar</t>
  </si>
  <si>
    <t>P087</t>
  </si>
  <si>
    <t>Afra</t>
  </si>
  <si>
    <t>P088</t>
  </si>
  <si>
    <t>Adil</t>
  </si>
  <si>
    <t>P089</t>
  </si>
  <si>
    <t>Fariha</t>
  </si>
  <si>
    <t>P090</t>
  </si>
  <si>
    <t>Wasif</t>
  </si>
  <si>
    <t>P091</t>
  </si>
  <si>
    <t>Sanam</t>
  </si>
  <si>
    <t>P092</t>
  </si>
  <si>
    <t>Mubashir</t>
  </si>
  <si>
    <t>P093</t>
  </si>
  <si>
    <t>P094</t>
  </si>
  <si>
    <t>Shafiq</t>
  </si>
  <si>
    <t>P095</t>
  </si>
  <si>
    <t>Rimsha</t>
  </si>
  <si>
    <t>P096</t>
  </si>
  <si>
    <t>Akbar</t>
  </si>
  <si>
    <t>P097</t>
  </si>
  <si>
    <t>P098</t>
  </si>
  <si>
    <t>Shehryar</t>
  </si>
  <si>
    <t>P099</t>
  </si>
  <si>
    <t>P100</t>
  </si>
  <si>
    <t>Arsalan</t>
  </si>
  <si>
    <t>P101</t>
  </si>
  <si>
    <t>Fahad</t>
  </si>
  <si>
    <t>P102</t>
  </si>
  <si>
    <t>Alishba</t>
  </si>
  <si>
    <t>P103</t>
  </si>
  <si>
    <t>Sameer</t>
  </si>
  <si>
    <t>P104</t>
  </si>
  <si>
    <t>Hania</t>
  </si>
  <si>
    <t>P105</t>
  </si>
  <si>
    <t>Nasir</t>
  </si>
  <si>
    <t>P106</t>
  </si>
  <si>
    <t>P107</t>
  </si>
  <si>
    <t>Shahbaz</t>
  </si>
  <si>
    <t>P108</t>
  </si>
  <si>
    <t>Sehr</t>
  </si>
  <si>
    <t>P109</t>
  </si>
  <si>
    <t>Asim</t>
  </si>
  <si>
    <t>P110</t>
  </si>
  <si>
    <t>Aiman</t>
  </si>
  <si>
    <t>P111</t>
  </si>
  <si>
    <t>P112</t>
  </si>
  <si>
    <t>Sadia</t>
  </si>
  <si>
    <t>P113</t>
  </si>
  <si>
    <t>P114</t>
  </si>
  <si>
    <t>P115</t>
  </si>
  <si>
    <t>Arif</t>
  </si>
  <si>
    <t>P116</t>
  </si>
  <si>
    <t>Shumaila</t>
  </si>
  <si>
    <t>P117</t>
  </si>
  <si>
    <t>Zubair</t>
  </si>
  <si>
    <t>P118</t>
  </si>
  <si>
    <t>Shabana</t>
  </si>
  <si>
    <t>P119</t>
  </si>
  <si>
    <t>Amir</t>
  </si>
  <si>
    <t>P120</t>
  </si>
  <si>
    <t>P121</t>
  </si>
  <si>
    <t>Khalid</t>
  </si>
  <si>
    <t>P122</t>
  </si>
  <si>
    <t>P123</t>
  </si>
  <si>
    <t>Babar</t>
  </si>
  <si>
    <t>P124</t>
  </si>
  <si>
    <t>P125</t>
  </si>
  <si>
    <t>Javed</t>
  </si>
  <si>
    <t>Dr ALi</t>
  </si>
  <si>
    <t>Departments/Gender</t>
  </si>
  <si>
    <t>P001</t>
  </si>
  <si>
    <t>Row Labels</t>
  </si>
  <si>
    <t>Grand Total</t>
  </si>
  <si>
    <t>Count of Patient_ID</t>
  </si>
  <si>
    <t>Sum of Bill_Amount</t>
  </si>
  <si>
    <t>z</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</si>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</sst>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20"/>
      <color theme="1"/>
      <name val="Calibri"/>
      <family val="2"/>
      <scheme val="minor"/>
    </font>
    <font>
      <b/>
      <sz val="22"/>
      <color theme="1"/>
      <name val="Calibri"/>
      <family val="2"/>
      <scheme val="minor"/>
    </font>
    <font>
      <sz val="24"/>
      <color theme="1"/>
      <name val="Calibri"/>
      <family val="2"/>
      <scheme val="minor"/>
    </font>
  </fonts>
  <fills count="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1">
    <xf numFmtId="0" fontId="0" fillId="0" borderId="0" xfId="0"/>
    <xf numFmtId="0" fontId="1" fillId="2" borderId="1" xfId="0" applyFont="1" applyFill="1" applyBorder="1"/>
    <xf numFmtId="0" fontId="0" fillId="0" borderId="1" xfId="0" applyBorder="1"/>
    <xf numFmtId="15" fontId="0" fillId="0" borderId="1" xfId="0" applyNumberFormat="1" applyBorder="1"/>
    <xf numFmtId="0" fontId="1" fillId="2" borderId="2" xfId="0" applyFont="1" applyFill="1" applyBorder="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0" fillId="4" borderId="0" xfId="0" applyFill="1"/>
    <xf numFmtId="0" fontId="0" fillId="5" borderId="0" xfId="0"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2" fillId="5" borderId="0" xfId="0" applyFont="1" applyFill="1"/>
  </cellXfs>
  <cellStyles count="1">
    <cellStyle name="Normal" xfId="0" builtinId="0"/>
  </cellStyles>
  <dxfs count="0"/>
  <tableStyles count="3" defaultTableStyle="TableStyleMedium2" defaultPivotStyle="PivotStyleLight16">
    <tableStyle name="Slicer Style 1" pivot="0" table="0" count="1"/>
    <tableStyle name="Slicer Style 2" pivot="0" table="0" count="1"/>
    <tableStyle name="Slicer Style 3" pivot="0" table="0" count="1"/>
  </tableStyles>
  <extLst>
    <ext xmlns:x14="http://schemas.microsoft.com/office/spreadsheetml/2009/9/main" uri="{46F421CA-312F-682f-3DD2-61675219B42D}">
      <x14:dxfs count="3">
        <dxf>
          <fill>
            <patternFill>
              <bgColor theme="9" tint="0.39994506668294322"/>
            </patternFill>
          </fill>
        </dxf>
        <dxf>
          <fill>
            <patternFill>
              <bgColor theme="9" tint="0.59996337778862885"/>
            </patternFill>
          </fill>
        </dxf>
        <dxf>
          <fill>
            <patternFill>
              <bgColor theme="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s>
        </x14:slicerStyle>
        <x14:slicerStyle name="Slicer Style 2">
          <x14:slicerStyleElements>
            <x14:slicerStyleElement type="hoveredUnselectedItemWithData" dxfId="1"/>
          </x14:slicerStyleElements>
        </x14:slicerStyle>
        <x14:slicerStyle name="Slicer Style 3">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Dashboard.xlsx]Total Patient By Departments!PivotTable1</c:name>
    <c:fmtId val="0"/>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effectLst/>
                <a:latin typeface="+mn-lt"/>
                <a:ea typeface="+mn-ea"/>
                <a:cs typeface="+mn-cs"/>
              </a:defRPr>
            </a:pPr>
            <a:r>
              <a:rPr lang="en-US" sz="1600" b="1"/>
              <a:t> Total Patients By Departments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2692038495188109E-2"/>
          <c:y val="5.0504976608975211E-2"/>
          <c:w val="0.9200696089459407"/>
          <c:h val="0.78756098030533461"/>
        </c:manualLayout>
      </c:layout>
      <c:barChart>
        <c:barDir val="col"/>
        <c:grouping val="clustered"/>
        <c:varyColors val="0"/>
        <c:ser>
          <c:idx val="0"/>
          <c:order val="0"/>
          <c:tx>
            <c:strRef>
              <c:f>'Total Patient By Departments'!$B$3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'Total Patient By Departments'!$A$4:$A$9</c:f>
              <c:strCache>
                <c:ptCount val="5"/>
                <c:pt idx="0">
                  <c:v>Cardiology</c:v>
                </c:pt>
                <c:pt idx="1">
                  <c:v>Dermatology</c:v>
                </c:pt>
                <c:pt idx="2">
                  <c:v>Neurology</c:v>
                </c:pt>
                <c:pt idx="3">
                  <c:v>Orthopedics</c:v>
                </c:pt>
                <c:pt idx="4">
                  <c:v>Pediatrics</c:v>
                </c:pt>
              </c:strCache>
            </c:strRef>
          </c:cat>
          <c:val>
            <c:numRef>
              <c:f>'Total Patient By Departments'!$B$4:$B$9</c:f>
              <c:numCache>
                <c:formatCode>General</c:formatCode>
                <c:ptCount val="5"/>
                <c:pt idx="0">
                  <c:v>30</c:v>
                </c:pt>
                <c:pt idx="1">
                  <c:v>22</c:v>
                </c:pt>
                <c:pt idx="2">
                  <c:v>25</c:v>
                </c:pt>
                <c:pt idx="3">
                  <c:v>25</c:v>
                </c:pt>
                <c:pt idx="4">
                  <c:v>23</c:v>
                </c:pt>
              </c:numCache>
            </c:numRef>
          </c:val>
          <c:extLst>
            <c:ext xmlns:c16="http://schemas.microsoft.com/office/drawing/2014/chart" uri="{C3380CC4-5D6E-409C-BE32-E72D297353CC}">
              <c16:uniqueId val="{00000000-805E-4B4C-AC4A-72B236183ADC}"/>
            </c:ext>
          </c:extLst>
        </c:ser>
        <c:dLbls>
          <c:dLblPos val="inEnd"/>
          <c:showLegendKey val="0"/>
          <c:showVal val="1"/>
          <c:showCatName val="0"/>
          <c:showSerName val="0"/>
          <c:showPercent val="0"/>
          <c:showBubbleSize val="0"/>
        </c:dLbls>
        <c:gapWidth val="41"/>
        <c:axId val="345691488"/>
        <c:axId val="345694440"/>
      </c:barChart>
      <c:catAx>
        <c:axId val="345691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effectLst/>
                <a:latin typeface="+mn-lt"/>
                <a:ea typeface="+mn-ea"/>
                <a:cs typeface="+mn-cs"/>
              </a:defRPr>
            </a:pPr>
            <a:endParaRPr lang="en-US"/>
          </a:p>
        </c:txPr>
        <c:crossAx val="345694440"/>
        <c:crosses val="autoZero"/>
        <c:auto val="1"/>
        <c:lblAlgn val="ctr"/>
        <c:lblOffset val="100"/>
        <c:noMultiLvlLbl val="0"/>
      </c:catAx>
      <c:valAx>
        <c:axId val="345694440"/>
        <c:scaling>
          <c:orientation val="minMax"/>
        </c:scaling>
        <c:delete val="1"/>
        <c:axPos val="l"/>
        <c:numFmt formatCode="General" sourceLinked="1"/>
        <c:majorTickMark val="none"/>
        <c:minorTickMark val="none"/>
        <c:tickLblPos val="nextTo"/>
        <c:crossAx val="345691488"/>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Dashboard.xlsx]Total Patient By Departments!PivotTable1</c:name>
    <c:fmtId val="2"/>
  </c:pivotSource>
  <c:chart>
    <c:title>
      <c:tx>
        <c:rich>
          <a:bodyPr rot="0" spcFirstLastPara="1" vertOverflow="ellipsis" vert="horz" wrap="square" anchor="ctr" anchorCtr="1"/>
          <a:lstStyle/>
          <a:p>
            <a:pPr>
              <a:defRPr sz="2800" b="1" i="0" u="none" strike="noStrike" kern="1200" baseline="0">
                <a:solidFill>
                  <a:schemeClr val="dk1">
                    <a:lumMod val="65000"/>
                    <a:lumOff val="35000"/>
                  </a:schemeClr>
                </a:solidFill>
                <a:effectLst/>
                <a:latin typeface="+mn-lt"/>
                <a:ea typeface="+mn-ea"/>
                <a:cs typeface="+mn-cs"/>
              </a:defRPr>
            </a:pPr>
            <a:r>
              <a:rPr lang="en-US" sz="2800" b="1"/>
              <a:t> Total Patients By Departments</a:t>
            </a:r>
          </a:p>
        </c:rich>
      </c:tx>
      <c:layout/>
      <c:overlay val="0"/>
      <c:spPr>
        <a:noFill/>
        <a:ln>
          <a:noFill/>
        </a:ln>
        <a:effectLst/>
      </c:spPr>
      <c:txPr>
        <a:bodyPr rot="0" spcFirstLastPara="1" vertOverflow="ellipsis" vert="horz" wrap="square" anchor="ctr" anchorCtr="1"/>
        <a:lstStyle/>
        <a:p>
          <a:pPr>
            <a:defRPr sz="2800"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9713640074566744E-2"/>
          <c:y val="0.10023316852835257"/>
          <c:w val="0.9200696089459407"/>
          <c:h val="0.77515790758713299"/>
        </c:manualLayout>
      </c:layout>
      <c:barChart>
        <c:barDir val="col"/>
        <c:grouping val="clustered"/>
        <c:varyColors val="0"/>
        <c:ser>
          <c:idx val="0"/>
          <c:order val="0"/>
          <c:tx>
            <c:strRef>
              <c:f>'Total Patient By Departments'!$B$3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'Total Patient By Departments'!$A$4:$A$9</c:f>
              <c:strCache>
                <c:ptCount val="5"/>
                <c:pt idx="0">
                  <c:v>Cardiology</c:v>
                </c:pt>
                <c:pt idx="1">
                  <c:v>Dermatology</c:v>
                </c:pt>
                <c:pt idx="2">
                  <c:v>Neurology</c:v>
                </c:pt>
                <c:pt idx="3">
                  <c:v>Orthopedics</c:v>
                </c:pt>
                <c:pt idx="4">
                  <c:v>Pediatrics</c:v>
                </c:pt>
              </c:strCache>
            </c:strRef>
          </c:cat>
          <c:val>
            <c:numRef>
              <c:f>'Total Patient By Departments'!$B$4:$B$9</c:f>
              <c:numCache>
                <c:formatCode>General</c:formatCode>
                <c:ptCount val="5"/>
                <c:pt idx="0">
                  <c:v>30</c:v>
                </c:pt>
                <c:pt idx="1">
                  <c:v>22</c:v>
                </c:pt>
                <c:pt idx="2">
                  <c:v>25</c:v>
                </c:pt>
                <c:pt idx="3">
                  <c:v>25</c:v>
                </c:pt>
                <c:pt idx="4">
                  <c:v>23</c:v>
                </c:pt>
              </c:numCache>
            </c:numRef>
          </c:val>
          <c:extLst>
            <c:ext xmlns:c16="http://schemas.microsoft.com/office/drawing/2014/chart" uri="{C3380CC4-5D6E-409C-BE32-E72D297353CC}">
              <c16:uniqueId val="{00000000-A8A4-4D04-BB3D-72BC9F289504}"/>
            </c:ext>
          </c:extLst>
        </c:ser>
        <c:dLbls>
          <c:dLblPos val="inEnd"/>
          <c:showLegendKey val="0"/>
          <c:showVal val="1"/>
          <c:showCatName val="0"/>
          <c:showSerName val="0"/>
          <c:showPercent val="0"/>
          <c:showBubbleSize val="0"/>
        </c:dLbls>
        <c:gapWidth val="41"/>
        <c:axId val="345691488"/>
        <c:axId val="345694440"/>
      </c:barChart>
      <c:catAx>
        <c:axId val="345691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65000"/>
                    <a:lumOff val="35000"/>
                  </a:schemeClr>
                </a:solidFill>
                <a:effectLst/>
                <a:latin typeface="+mn-lt"/>
                <a:ea typeface="+mn-ea"/>
                <a:cs typeface="+mn-cs"/>
              </a:defRPr>
            </a:pPr>
            <a:endParaRPr lang="en-US"/>
          </a:p>
        </c:txPr>
        <c:crossAx val="345694440"/>
        <c:crosses val="autoZero"/>
        <c:auto val="1"/>
        <c:lblAlgn val="ctr"/>
        <c:lblOffset val="100"/>
        <c:noMultiLvlLbl val="0"/>
      </c:catAx>
      <c:valAx>
        <c:axId val="345694440"/>
        <c:scaling>
          <c:orientation val="minMax"/>
        </c:scaling>
        <c:delete val="1"/>
        <c:axPos val="l"/>
        <c:numFmt formatCode="General" sourceLinked="1"/>
        <c:majorTickMark val="none"/>
        <c:minorTickMark val="none"/>
        <c:tickLblPos val="nextTo"/>
        <c:crossAx val="345691488"/>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Dashboard.xlsx]Total Bil_ Amount By Departmen !PivotTable2</c:name>
    <c:fmtId val="2"/>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a:t>Total Bill_Amount By Departments</a:t>
            </a:r>
          </a:p>
        </c:rich>
      </c:tx>
      <c:layout/>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820903406477311"/>
          <c:y val="0.11605892305371263"/>
          <c:w val="0.79534762594628761"/>
          <c:h val="0.78510719713006427"/>
        </c:manualLayout>
      </c:layout>
      <c:barChart>
        <c:barDir val="bar"/>
        <c:grouping val="clustered"/>
        <c:varyColors val="0"/>
        <c:ser>
          <c:idx val="0"/>
          <c:order val="0"/>
          <c:tx>
            <c:strRef>
              <c:f>'Total Bil_ Amount By Departmen '!$B$3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'Total Bil_ Amount By Departmen '!$A$4:$A$9</c:f>
              <c:strCache>
                <c:ptCount val="5"/>
                <c:pt idx="0">
                  <c:v>Cardiology</c:v>
                </c:pt>
                <c:pt idx="1">
                  <c:v>Dermatology</c:v>
                </c:pt>
                <c:pt idx="2">
                  <c:v>Neurology</c:v>
                </c:pt>
                <c:pt idx="3">
                  <c:v>Orthopedics</c:v>
                </c:pt>
                <c:pt idx="4">
                  <c:v>Pediatrics</c:v>
                </c:pt>
              </c:strCache>
            </c:strRef>
          </c:cat>
          <c:val>
            <c:numRef>
              <c:f>'Total Bil_ Amount By Departmen '!$B$4:$B$9</c:f>
              <c:numCache>
                <c:formatCode>General</c:formatCode>
                <c:ptCount val="5"/>
                <c:pt idx="0">
                  <c:v>401200</c:v>
                </c:pt>
                <c:pt idx="1">
                  <c:v>75100</c:v>
                </c:pt>
                <c:pt idx="2">
                  <c:v>229600</c:v>
                </c:pt>
                <c:pt idx="3">
                  <c:v>371300</c:v>
                </c:pt>
                <c:pt idx="4">
                  <c:v>74400</c:v>
                </c:pt>
              </c:numCache>
            </c:numRef>
          </c:val>
          <c:extLst>
            <c:ext xmlns:c16="http://schemas.microsoft.com/office/drawing/2014/chart" uri="{C3380CC4-5D6E-409C-BE32-E72D297353CC}">
              <c16:uniqueId val="{00000000-1932-49EA-8891-792651DB3A9B}"/>
            </c:ext>
          </c:extLst>
        </c:ser>
        <c:dLbls>
          <c:dLblPos val="inEnd"/>
          <c:showLegendKey val="0"/>
          <c:showVal val="1"/>
          <c:showCatName val="0"/>
          <c:showSerName val="0"/>
          <c:showPercent val="0"/>
          <c:showBubbleSize val="0"/>
        </c:dLbls>
        <c:gapWidth val="65"/>
        <c:axId val="345695424"/>
        <c:axId val="345696736"/>
      </c:barChart>
      <c:catAx>
        <c:axId val="3456954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345696736"/>
        <c:crosses val="autoZero"/>
        <c:auto val="1"/>
        <c:lblAlgn val="ctr"/>
        <c:lblOffset val="100"/>
        <c:noMultiLvlLbl val="0"/>
      </c:catAx>
      <c:valAx>
        <c:axId val="345696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34569542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Dashboard.xlsx]Visit_type Wise Total Patients!PivotTable3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Patient By Visit_typel</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340407500608812"/>
          <c:y val="0.12872894701721607"/>
          <c:w val="0.39921642990502476"/>
          <c:h val="0.82042359535566534"/>
        </c:manualLayout>
      </c:layout>
      <c:pieChart>
        <c:varyColors val="1"/>
        <c:ser>
          <c:idx val="0"/>
          <c:order val="0"/>
          <c:tx>
            <c:strRef>
              <c:f>'Visit_type Wise Total Patients'!$B$3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002-432C-ACDF-F3B22DADC1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002-432C-ACDF-F3B22DADC17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002-432C-ACDF-F3B22DADC17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'Visit_type Wise Total Patients'!$A$4:$A$7</c:f>
              <c:strCache>
                <c:ptCount val="3"/>
                <c:pt idx="0">
                  <c:v>Admission</c:v>
                </c:pt>
                <c:pt idx="1">
                  <c:v>Emergency</c:v>
                </c:pt>
                <c:pt idx="2">
                  <c:v>OPD</c:v>
                </c:pt>
              </c:strCache>
            </c:strRef>
          </c:cat>
          <c:val>
            <c:numRef>
              <c:f>'Visit_type Wise Total Patients'!$B$4:$B$7</c:f>
              <c:numCache>
                <c:formatCode>General</c:formatCode>
                <c:ptCount val="3"/>
                <c:pt idx="0">
                  <c:v>21</c:v>
                </c:pt>
                <c:pt idx="1">
                  <c:v>22</c:v>
                </c:pt>
                <c:pt idx="2">
                  <c:v>82</c:v>
                </c:pt>
              </c:numCache>
            </c:numRef>
          </c:val>
          <c:extLst>
            <c:ext xmlns:c16="http://schemas.microsoft.com/office/drawing/2014/chart" uri="{C3380CC4-5D6E-409C-BE32-E72D297353CC}">
              <c16:uniqueId val="{00000006-6002-432C-ACDF-F3B22DADC1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256222095949346"/>
          <c:y val="0.28452048578673428"/>
          <c:w val="0.31365748031496066"/>
          <c:h val="0.593309638378535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Dashboard.xlsx]Total Amount by  Payment_method!PivotTable4</c:name>
    <c:fmtId val="2"/>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Total Bill_Amount B Paymen_Methodt</a:t>
            </a:r>
          </a:p>
        </c:rich>
      </c:tx>
      <c:layout>
        <c:manualLayout>
          <c:xMode val="edge"/>
          <c:yMode val="edge"/>
          <c:x val="0.14699495464621323"/>
          <c:y val="5.0925925925925923E-2"/>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830533683289589E-2"/>
          <c:y val="0.14393518518518519"/>
          <c:w val="0.46641666666666665"/>
          <c:h val="0.77736111111111106"/>
        </c:manualLayout>
      </c:layout>
      <c:doughnutChart>
        <c:varyColors val="1"/>
        <c:ser>
          <c:idx val="0"/>
          <c:order val="0"/>
          <c:tx>
            <c:strRef>
              <c:f>'Total Amount by  Payment_method'!$B$3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5F-43D4-924B-35A3ED67AD3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5F-43D4-924B-35A3ED67AD3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5F-43D4-924B-35A3ED67AD3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'Total Amount by  Payment_method'!$A$4:$A$7</c:f>
              <c:strCache>
                <c:ptCount val="3"/>
                <c:pt idx="0">
                  <c:v>Card</c:v>
                </c:pt>
                <c:pt idx="1">
                  <c:v>Cash</c:v>
                </c:pt>
                <c:pt idx="2">
                  <c:v>Online</c:v>
                </c:pt>
              </c:strCache>
            </c:strRef>
          </c:cat>
          <c:val>
            <c:numRef>
              <c:f>'Total Amount by  Payment_method'!$B$4:$B$7</c:f>
              <c:numCache>
                <c:formatCode>General</c:formatCode>
                <c:ptCount val="3"/>
                <c:pt idx="0">
                  <c:v>381300</c:v>
                </c:pt>
                <c:pt idx="1">
                  <c:v>625000</c:v>
                </c:pt>
                <c:pt idx="2">
                  <c:v>145300</c:v>
                </c:pt>
              </c:numCache>
            </c:numRef>
          </c:val>
          <c:extLst>
            <c:ext xmlns:c16="http://schemas.microsoft.com/office/drawing/2014/chart" uri="{C3380CC4-5D6E-409C-BE32-E72D297353CC}">
              <c16:uniqueId val="{00000006-825F-43D4-924B-35A3ED67AD3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63042428126716732"/>
          <c:y val="0.25239538546053836"/>
          <c:w val="0.30407164130390435"/>
          <c:h val="0.55382108486439197"/>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Dashboard.xlsx]Total Patients Months Wise!PivotTable5</c:name>
    <c:fmtId val="2"/>
  </c:pivotSource>
  <c:chart>
    <c:title>
      <c:tx>
        <c:rich>
          <a:bodyPr rot="0" spcFirstLastPara="1" vertOverflow="ellipsis" vert="horz" wrap="square" anchor="ctr" anchorCtr="1"/>
          <a:lstStyle/>
          <a:p>
            <a:pPr>
              <a:defRPr sz="28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Patients Months Wise</a:t>
            </a:r>
          </a:p>
        </c:rich>
      </c:tx>
      <c:layout>
        <c:manualLayout>
          <c:xMode val="edge"/>
          <c:yMode val="edge"/>
          <c:x val="0.19774858614982427"/>
          <c:y val="1.9753091540284901E-2"/>
        </c:manualLayout>
      </c:layout>
      <c:overlay val="0"/>
      <c:spPr>
        <a:noFill/>
        <a:ln>
          <a:noFill/>
        </a:ln>
        <a:effectLst/>
      </c:spPr>
      <c:txPr>
        <a:bodyPr rot="0" spcFirstLastPara="1" vertOverflow="ellipsis" vert="horz" wrap="square" anchor="ctr" anchorCtr="1"/>
        <a:lstStyle/>
        <a:p>
          <a:pPr>
            <a:defRPr sz="28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4445737590187169"/>
          <c:y val="0.22204496861280415"/>
          <c:w val="0.85500308305563433"/>
          <c:h val="0.62642160044628503"/>
        </c:manualLayout>
      </c:layout>
      <c:lineChart>
        <c:grouping val="standard"/>
        <c:varyColors val="0"/>
        <c:ser>
          <c:idx val="0"/>
          <c:order val="0"/>
          <c:tx>
            <c:strRef>
              <c:f>'Total Patients Months Wise'!$B$3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'Total Patients Months Wise'!$A$4:$A$6</c:f>
              <c:strCache>
                <c:ptCount val="2"/>
                <c:pt idx="0">
                  <c:v>Sep</c:v>
                </c:pt>
                <c:pt idx="1">
                  <c:v>Oct</c:v>
                </c:pt>
              </c:strCache>
            </c:strRef>
          </c:cat>
          <c:val>
            <c:numRef>
              <c:f>'Total Patients Months Wise'!$B$4:$B$6</c:f>
              <c:numCache>
                <c:formatCode>General</c:formatCode>
                <c:ptCount val="2"/>
                <c:pt idx="0">
                  <c:v>78</c:v>
                </c:pt>
                <c:pt idx="1">
                  <c:v>47</c:v>
                </c:pt>
              </c:numCache>
            </c:numRef>
          </c:val>
          <c:smooth val="0"/>
          <c:extLst>
            <c:ext xmlns:c16="http://schemas.microsoft.com/office/drawing/2014/chart" uri="{C3380CC4-5D6E-409C-BE32-E72D297353CC}">
              <c16:uniqueId val="{00000000-F0E7-461E-B665-28B73B2D893B}"/>
            </c:ext>
          </c:extLst>
        </c:ser>
        <c:dLbls>
          <c:showLegendKey val="0"/>
          <c:showVal val="0"/>
          <c:showCatName val="0"/>
          <c:showSerName val="0"/>
          <c:showPercent val="0"/>
          <c:showBubbleSize val="0"/>
        </c:dLbls>
        <c:marker val="1"/>
        <c:smooth val="0"/>
        <c:axId val="435382856"/>
        <c:axId val="435385480"/>
      </c:lineChart>
      <c:catAx>
        <c:axId val="4353828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en-US"/>
          </a:p>
        </c:txPr>
        <c:crossAx val="435385480"/>
        <c:crosses val="autoZero"/>
        <c:auto val="1"/>
        <c:lblAlgn val="ctr"/>
        <c:lblOffset val="100"/>
        <c:noMultiLvlLbl val="0"/>
      </c:catAx>
      <c:valAx>
        <c:axId val="435385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en-US"/>
          </a:p>
        </c:txPr>
        <c:crossAx val="4353828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Dashboard.xlsx]Total Bill_Amount By Visit_type!PivotTable6</c:name>
    <c:fmtId val="2"/>
  </c:pivotSource>
  <c:chart>
    <c:title>
      <c:tx>
        <c:rich>
          <a:bodyPr rot="0" spcFirstLastPara="1" vertOverflow="ellipsis" vert="horz" wrap="square" anchor="ctr" anchorCtr="1"/>
          <a:lstStyle/>
          <a:p>
            <a:pPr>
              <a:defRPr sz="2000" b="1" i="0" u="none" strike="noStrike" kern="1200" baseline="0">
                <a:solidFill>
                  <a:schemeClr val="lt1">
                    <a:lumMod val="85000"/>
                  </a:schemeClr>
                </a:solidFill>
                <a:latin typeface="+mj-lt"/>
                <a:ea typeface="+mj-ea"/>
                <a:cs typeface="+mj-cs"/>
              </a:defRPr>
            </a:pPr>
            <a:r>
              <a:rPr lang="en-US" sz="2000"/>
              <a:t>Total</a:t>
            </a:r>
            <a:r>
              <a:rPr lang="en-US" sz="2000" baseline="0"/>
              <a:t> Bill_Amount By Visit_type</a:t>
            </a:r>
            <a:r>
              <a:rPr lang="en-US" sz="2000"/>
              <a:t>l</a:t>
            </a:r>
          </a:p>
        </c:rich>
      </c:tx>
      <c:layout/>
      <c:overlay val="0"/>
      <c:spPr>
        <a:noFill/>
        <a:ln>
          <a:noFill/>
        </a:ln>
        <a:effectLst/>
      </c:spPr>
      <c:txPr>
        <a:bodyPr rot="0" spcFirstLastPara="1" vertOverflow="ellipsis" vert="horz" wrap="square" anchor="ctr" anchorCtr="1"/>
        <a:lstStyle/>
        <a:p>
          <a:pPr>
            <a:defRPr sz="20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1">
              <a:lumMod val="40000"/>
              <a:lumOff val="60000"/>
            </a:schemeClr>
          </a:solidFill>
          <a:ln>
            <a:noFill/>
          </a:ln>
          <a:effectLst>
            <a:innerShdw dist="12700" dir="16200000">
              <a:schemeClr val="lt1">
                <a:alpha val="75000"/>
              </a:schemeClr>
            </a:innerShdw>
          </a:effectLst>
        </c:spPr>
      </c:pivotFmt>
      <c:pivotFmt>
        <c:idx val="3"/>
        <c:spPr>
          <a:solidFill>
            <a:schemeClr val="accent1">
              <a:lumMod val="40000"/>
              <a:lumOff val="60000"/>
            </a:schemeClr>
          </a:solidFill>
          <a:ln>
            <a:noFill/>
          </a:ln>
          <a:effectLst>
            <a:innerShdw dist="12700" dir="16200000">
              <a:schemeClr val="lt1">
                <a:alpha val="75000"/>
              </a:schemeClr>
            </a:innerShdw>
          </a:effectLst>
        </c:spPr>
        <c:marker>
          <c:symbol val="none"/>
        </c:marker>
      </c:pivotFmt>
      <c:pivotFmt>
        <c:idx val="4"/>
        <c:spPr>
          <a:solidFill>
            <a:schemeClr val="accent1">
              <a:lumMod val="40000"/>
              <a:lumOff val="60000"/>
            </a:schemeClr>
          </a:solidFill>
          <a:ln>
            <a:noFill/>
          </a:ln>
          <a:effectLst>
            <a:innerShdw dist="12700" dir="16200000">
              <a:schemeClr val="lt1">
                <a:alpha val="75000"/>
              </a:schemeClr>
            </a:innerShdw>
          </a:effectLst>
        </c:spPr>
        <c:marker>
          <c:symbol val="none"/>
        </c:marker>
      </c:pivotFmt>
    </c:pivotFmts>
    <c:plotArea>
      <c:layout>
        <c:manualLayout>
          <c:layoutTarget val="inner"/>
          <c:xMode val="edge"/>
          <c:yMode val="edge"/>
          <c:x val="0.14835279818210642"/>
          <c:y val="0.12509017854249699"/>
          <c:w val="0.79059028695238598"/>
          <c:h val="0.68200667509153934"/>
        </c:manualLayout>
      </c:layout>
      <c:areaChart>
        <c:grouping val="standard"/>
        <c:varyColors val="0"/>
        <c:ser>
          <c:idx val="0"/>
          <c:order val="0"/>
          <c:tx>
            <c:strRef>
              <c:f>'Total Bill_Amount By Visit_type'!$B$3</c:f>
              <c:strCache>
                <c:ptCount val="1"/>
                <c:pt idx="0">
                  <c:v>Total</c:v>
                </c:pt>
              </c:strCache>
            </c:strRef>
          </c:tx>
          <c:spPr>
            <a:solidFill>
              <a:schemeClr val="accent1">
                <a:lumMod val="40000"/>
                <a:lumOff val="60000"/>
              </a:schemeClr>
            </a:solidFill>
            <a:ln>
              <a:noFill/>
            </a:ln>
            <a:effectLst>
              <a:innerShdw dist="12700" dir="16200000">
                <a:schemeClr val="lt1">
                  <a:alpha val="75000"/>
                </a:schemeClr>
              </a:innerShdw>
            </a:effectLst>
          </c:spPr>
          <c:cat>
            <c:strRef>
              <c:f>'Total Bill_Amount By Visit_type'!$A$4:$A$7</c:f>
              <c:strCache>
                <c:ptCount val="3"/>
                <c:pt idx="0">
                  <c:v>Admission</c:v>
                </c:pt>
                <c:pt idx="1">
                  <c:v>Emergency</c:v>
                </c:pt>
                <c:pt idx="2">
                  <c:v>OPD</c:v>
                </c:pt>
              </c:strCache>
            </c:strRef>
          </c:cat>
          <c:val>
            <c:numRef>
              <c:f>'Total Bill_Amount By Visit_type'!$B$4:$B$7</c:f>
              <c:numCache>
                <c:formatCode>General</c:formatCode>
                <c:ptCount val="3"/>
                <c:pt idx="0">
                  <c:v>439300</c:v>
                </c:pt>
                <c:pt idx="1">
                  <c:v>305300</c:v>
                </c:pt>
                <c:pt idx="2">
                  <c:v>407000</c:v>
                </c:pt>
              </c:numCache>
            </c:numRef>
          </c:val>
          <c:extLst>
            <c:ext xmlns:c16="http://schemas.microsoft.com/office/drawing/2014/chart" uri="{C3380CC4-5D6E-409C-BE32-E72D297353CC}">
              <c16:uniqueId val="{00000000-E4FE-4680-8106-15759F2D5FB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89293688"/>
        <c:axId val="489288440"/>
      </c:areaChart>
      <c:catAx>
        <c:axId val="4892936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800" b="1" i="0" u="none" strike="noStrike" kern="1200" cap="all" baseline="0">
                <a:solidFill>
                  <a:schemeClr val="lt1">
                    <a:lumMod val="85000"/>
                  </a:schemeClr>
                </a:solidFill>
                <a:latin typeface="+mn-lt"/>
                <a:ea typeface="+mn-ea"/>
                <a:cs typeface="+mn-cs"/>
              </a:defRPr>
            </a:pPr>
            <a:endParaRPr lang="en-US"/>
          </a:p>
        </c:txPr>
        <c:crossAx val="489288440"/>
        <c:crosses val="autoZero"/>
        <c:auto val="1"/>
        <c:lblAlgn val="ctr"/>
        <c:lblOffset val="100"/>
        <c:noMultiLvlLbl val="0"/>
      </c:catAx>
      <c:valAx>
        <c:axId val="489288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lt1">
                    <a:lumMod val="75000"/>
                  </a:schemeClr>
                </a:solidFill>
                <a:latin typeface="+mn-lt"/>
                <a:ea typeface="+mn-ea"/>
                <a:cs typeface="+mn-cs"/>
              </a:defRPr>
            </a:pPr>
            <a:endParaRPr lang="en-US"/>
          </a:p>
        </c:txPr>
        <c:crossAx val="489293688"/>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Dashboard.xlsx]Total Bil_ Amount By Departmen !PivotTable2</c:name>
    <c:fmtId val="0"/>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Total Bill_Amount By Departments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816998759399448"/>
          <c:y val="0.15544186224294779"/>
          <c:w val="0.76714956303538984"/>
          <c:h val="0.74201322528858649"/>
        </c:manualLayout>
      </c:layout>
      <c:barChart>
        <c:barDir val="bar"/>
        <c:grouping val="clustered"/>
        <c:varyColors val="0"/>
        <c:ser>
          <c:idx val="0"/>
          <c:order val="0"/>
          <c:tx>
            <c:strRef>
              <c:f>'Total Bil_ Amount By Departmen '!$B$3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'Total Bil_ Amount By Departmen '!$A$4:$A$9</c:f>
              <c:strCache>
                <c:ptCount val="5"/>
                <c:pt idx="0">
                  <c:v>Cardiology</c:v>
                </c:pt>
                <c:pt idx="1">
                  <c:v>Dermatology</c:v>
                </c:pt>
                <c:pt idx="2">
                  <c:v>Neurology</c:v>
                </c:pt>
                <c:pt idx="3">
                  <c:v>Orthopedics</c:v>
                </c:pt>
                <c:pt idx="4">
                  <c:v>Pediatrics</c:v>
                </c:pt>
              </c:strCache>
            </c:strRef>
          </c:cat>
          <c:val>
            <c:numRef>
              <c:f>'Total Bil_ Amount By Departmen '!$B$4:$B$9</c:f>
              <c:numCache>
                <c:formatCode>General</c:formatCode>
                <c:ptCount val="5"/>
                <c:pt idx="0">
                  <c:v>401200</c:v>
                </c:pt>
                <c:pt idx="1">
                  <c:v>75100</c:v>
                </c:pt>
                <c:pt idx="2">
                  <c:v>229600</c:v>
                </c:pt>
                <c:pt idx="3">
                  <c:v>371300</c:v>
                </c:pt>
                <c:pt idx="4">
                  <c:v>74400</c:v>
                </c:pt>
              </c:numCache>
            </c:numRef>
          </c:val>
          <c:extLst>
            <c:ext xmlns:c16="http://schemas.microsoft.com/office/drawing/2014/chart" uri="{C3380CC4-5D6E-409C-BE32-E72D297353CC}">
              <c16:uniqueId val="{00000000-D7EB-4B8E-93C8-F6A4A402C863}"/>
            </c:ext>
          </c:extLst>
        </c:ser>
        <c:dLbls>
          <c:dLblPos val="inEnd"/>
          <c:showLegendKey val="0"/>
          <c:showVal val="1"/>
          <c:showCatName val="0"/>
          <c:showSerName val="0"/>
          <c:showPercent val="0"/>
          <c:showBubbleSize val="0"/>
        </c:dLbls>
        <c:gapWidth val="65"/>
        <c:axId val="345695424"/>
        <c:axId val="345696736"/>
      </c:barChart>
      <c:catAx>
        <c:axId val="3456954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1" i="0" u="none" strike="noStrike" kern="1200" cap="all" baseline="0">
                <a:solidFill>
                  <a:schemeClr val="dk1">
                    <a:lumMod val="75000"/>
                    <a:lumOff val="25000"/>
                  </a:schemeClr>
                </a:solidFill>
                <a:latin typeface="+mn-lt"/>
                <a:ea typeface="+mn-ea"/>
                <a:cs typeface="+mn-cs"/>
              </a:defRPr>
            </a:pPr>
            <a:endParaRPr lang="en-US"/>
          </a:p>
        </c:txPr>
        <c:crossAx val="345696736"/>
        <c:crosses val="autoZero"/>
        <c:auto val="1"/>
        <c:lblAlgn val="ctr"/>
        <c:lblOffset val="100"/>
        <c:noMultiLvlLbl val="0"/>
      </c:catAx>
      <c:valAx>
        <c:axId val="345696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34569542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Dashboard.xlsx]Visit_type Wise Total Patients!PivotTable3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Patient By Visit_typel</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'Visit_type Wise Total Patients'!$B$3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0EB-46A7-98C7-28687666519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0EB-46A7-98C7-28687666519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0EB-46A7-98C7-2868766651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'Visit_type Wise Total Patients'!$A$4:$A$7</c:f>
              <c:strCache>
                <c:ptCount val="3"/>
                <c:pt idx="0">
                  <c:v>Admission</c:v>
                </c:pt>
                <c:pt idx="1">
                  <c:v>Emergency</c:v>
                </c:pt>
                <c:pt idx="2">
                  <c:v>OPD</c:v>
                </c:pt>
              </c:strCache>
            </c:strRef>
          </c:cat>
          <c:val>
            <c:numRef>
              <c:f>'Visit_type Wise Total Patients'!$B$4:$B$7</c:f>
              <c:numCache>
                <c:formatCode>General</c:formatCode>
                <c:ptCount val="3"/>
                <c:pt idx="0">
                  <c:v>21</c:v>
                </c:pt>
                <c:pt idx="1">
                  <c:v>22</c:v>
                </c:pt>
                <c:pt idx="2">
                  <c:v>82</c:v>
                </c:pt>
              </c:numCache>
            </c:numRef>
          </c:val>
          <c:extLst>
            <c:ext xmlns:c16="http://schemas.microsoft.com/office/drawing/2014/chart" uri="{C3380CC4-5D6E-409C-BE32-E72D297353CC}">
              <c16:uniqueId val="{00000000-2C22-473D-A84E-5EC2EA2248F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300918635170613"/>
          <c:y val="0.2938312919218431"/>
          <c:w val="0.31365748031496066"/>
          <c:h val="0.593309638378535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Dashboard.xlsx]Total Amount by  Payment_method!PivotTable4</c:name>
    <c:fmtId val="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 Bill_Amount B Paymen_Methodt</a:t>
            </a:r>
          </a:p>
        </c:rich>
      </c:tx>
      <c:layout>
        <c:manualLayout>
          <c:xMode val="edge"/>
          <c:yMode val="edge"/>
          <c:x val="0.14699495464621323"/>
          <c:y val="5.0925925925925923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830533683289589E-2"/>
          <c:y val="0.14393518518518519"/>
          <c:w val="0.46641666666666665"/>
          <c:h val="0.77736111111111106"/>
        </c:manualLayout>
      </c:layout>
      <c:doughnutChart>
        <c:varyColors val="1"/>
        <c:ser>
          <c:idx val="0"/>
          <c:order val="0"/>
          <c:tx>
            <c:strRef>
              <c:f>'Total Amount by  Payment_method'!$B$3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AD-4F22-A5CC-E1C3E53A1EF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AD-4F22-A5CC-E1C3E53A1EF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9AD-4F22-A5CC-E1C3E53A1E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'Total Amount by  Payment_method'!$A$4:$A$7</c:f>
              <c:strCache>
                <c:ptCount val="3"/>
                <c:pt idx="0">
                  <c:v>Card</c:v>
                </c:pt>
                <c:pt idx="1">
                  <c:v>Cash</c:v>
                </c:pt>
                <c:pt idx="2">
                  <c:v>Online</c:v>
                </c:pt>
              </c:strCache>
            </c:strRef>
          </c:cat>
          <c:val>
            <c:numRef>
              <c:f>'Total Amount by  Payment_method'!$B$4:$B$7</c:f>
              <c:numCache>
                <c:formatCode>General</c:formatCode>
                <c:ptCount val="3"/>
                <c:pt idx="0">
                  <c:v>381300</c:v>
                </c:pt>
                <c:pt idx="1">
                  <c:v>625000</c:v>
                </c:pt>
                <c:pt idx="2">
                  <c:v>145300</c:v>
                </c:pt>
              </c:numCache>
            </c:numRef>
          </c:val>
          <c:extLst>
            <c:ext xmlns:c16="http://schemas.microsoft.com/office/drawing/2014/chart" uri="{C3380CC4-5D6E-409C-BE32-E72D297353CC}">
              <c16:uniqueId val="{00000000-E079-46FA-A641-A777F7AA296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67926155603606542"/>
          <c:y val="0.26727909011373585"/>
          <c:w val="0.30407164130390435"/>
          <c:h val="0.5538210848643919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Dashboard.xlsx]Total Patients Months Wise!PivotTable5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Patients Months Wise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9.7683232218923458E-2"/>
          <c:y val="0.17784740449110528"/>
          <c:w val="0.85500309652304696"/>
          <c:h val="0.68897309711286092"/>
        </c:manualLayout>
      </c:layout>
      <c:lineChart>
        <c:grouping val="standard"/>
        <c:varyColors val="0"/>
        <c:ser>
          <c:idx val="0"/>
          <c:order val="0"/>
          <c:tx>
            <c:strRef>
              <c:f>'Total Patients Months Wise'!$B$3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'Total Patients Months Wise'!$A$4:$A$6</c:f>
              <c:strCache>
                <c:ptCount val="2"/>
                <c:pt idx="0">
                  <c:v>Sep</c:v>
                </c:pt>
                <c:pt idx="1">
                  <c:v>Oct</c:v>
                </c:pt>
              </c:strCache>
            </c:strRef>
          </c:cat>
          <c:val>
            <c:numRef>
              <c:f>'Total Patients Months Wise'!$B$4:$B$6</c:f>
              <c:numCache>
                <c:formatCode>General</c:formatCode>
                <c:ptCount val="2"/>
                <c:pt idx="0">
                  <c:v>78</c:v>
                </c:pt>
                <c:pt idx="1">
                  <c:v>47</c:v>
                </c:pt>
              </c:numCache>
            </c:numRef>
          </c:val>
          <c:smooth val="0"/>
          <c:extLst>
            <c:ext xmlns:c16="http://schemas.microsoft.com/office/drawing/2014/chart" uri="{C3380CC4-5D6E-409C-BE32-E72D297353CC}">
              <c16:uniqueId val="{00000000-4C26-4E8F-A791-80D40108F8A0}"/>
            </c:ext>
          </c:extLst>
        </c:ser>
        <c:dLbls>
          <c:showLegendKey val="0"/>
          <c:showVal val="0"/>
          <c:showCatName val="0"/>
          <c:showSerName val="0"/>
          <c:showPercent val="0"/>
          <c:showBubbleSize val="0"/>
        </c:dLbls>
        <c:marker val="1"/>
        <c:smooth val="0"/>
        <c:axId val="435382856"/>
        <c:axId val="435385480"/>
      </c:lineChart>
      <c:catAx>
        <c:axId val="4353828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5385480"/>
        <c:crosses val="autoZero"/>
        <c:auto val="1"/>
        <c:lblAlgn val="ctr"/>
        <c:lblOffset val="100"/>
        <c:noMultiLvlLbl val="0"/>
      </c:catAx>
      <c:valAx>
        <c:axId val="435385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53828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Analyst Dashboard.xlsx]Total Bill_Amount By Visit_type!PivotTable6</c:name>
    <c:fmtId val="0"/>
  </c:pivotSource>
  <c:chart>
    <c:title>
      <c:tx>
        <c:rich>
          <a:bodyPr rot="0" spcFirstLastPara="1" vertOverflow="ellipsis" vert="horz" wrap="square" anchor="ctr" anchorCtr="1"/>
          <a:lstStyle/>
          <a:p>
            <a:pPr>
              <a:defRPr sz="1200" b="1" i="0" u="none" strike="noStrike" kern="1200" baseline="0">
                <a:solidFill>
                  <a:schemeClr val="lt1">
                    <a:lumMod val="85000"/>
                  </a:schemeClr>
                </a:solidFill>
                <a:latin typeface="+mj-lt"/>
                <a:ea typeface="+mj-ea"/>
                <a:cs typeface="+mj-cs"/>
              </a:defRPr>
            </a:pPr>
            <a:r>
              <a:rPr lang="en-US" sz="1200"/>
              <a:t>Total</a:t>
            </a:r>
            <a:r>
              <a:rPr lang="en-US" sz="1200" baseline="0"/>
              <a:t> Bill_Amount By Visit_type</a:t>
            </a:r>
            <a:r>
              <a:rPr lang="en-US" sz="1200"/>
              <a:t>l</a:t>
            </a: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manualLayout>
          <c:layoutTarget val="inner"/>
          <c:xMode val="edge"/>
          <c:yMode val="edge"/>
          <c:x val="0.14835279818210642"/>
          <c:y val="0.17118059761760548"/>
          <c:w val="0.79059028695238598"/>
          <c:h val="0.63591611144760751"/>
        </c:manualLayout>
      </c:layout>
      <c:areaChart>
        <c:grouping val="standard"/>
        <c:varyColors val="0"/>
        <c:ser>
          <c:idx val="0"/>
          <c:order val="0"/>
          <c:tx>
            <c:strRef>
              <c:f>'Total Bill_Amount By Visit_type'!$B$3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'Total Bill_Amount By Visit_type'!$A$4:$A$7</c:f>
              <c:strCache>
                <c:ptCount val="3"/>
                <c:pt idx="0">
                  <c:v>Admission</c:v>
                </c:pt>
                <c:pt idx="1">
                  <c:v>Emergency</c:v>
                </c:pt>
                <c:pt idx="2">
                  <c:v>OPD</c:v>
                </c:pt>
              </c:strCache>
            </c:strRef>
          </c:cat>
          <c:val>
            <c:numRef>
              <c:f>'Total Bill_Amount By Visit_type'!$B$4:$B$7</c:f>
              <c:numCache>
                <c:formatCode>General</c:formatCode>
                <c:ptCount val="3"/>
                <c:pt idx="0">
                  <c:v>439300</c:v>
                </c:pt>
                <c:pt idx="1">
                  <c:v>305300</c:v>
                </c:pt>
                <c:pt idx="2">
                  <c:v>407000</c:v>
                </c:pt>
              </c:numCache>
            </c:numRef>
          </c:val>
          <c:extLst>
            <c:ext xmlns:c16="http://schemas.microsoft.com/office/drawing/2014/chart" uri="{C3380CC4-5D6E-409C-BE32-E72D297353CC}">
              <c16:uniqueId val="{00000000-0B3B-47A7-AEFF-B6C8F809ADE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89293688"/>
        <c:axId val="489288440"/>
      </c:areaChart>
      <c:catAx>
        <c:axId val="4892936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lt1">
                    <a:lumMod val="85000"/>
                  </a:schemeClr>
                </a:solidFill>
                <a:latin typeface="+mn-lt"/>
                <a:ea typeface="+mn-ea"/>
                <a:cs typeface="+mn-cs"/>
              </a:defRPr>
            </a:pPr>
            <a:endParaRPr lang="en-US"/>
          </a:p>
        </c:txPr>
        <c:crossAx val="489288440"/>
        <c:crosses val="autoZero"/>
        <c:auto val="1"/>
        <c:lblAlgn val="ctr"/>
        <c:lblOffset val="100"/>
        <c:noMultiLvlLbl val="0"/>
      </c:catAx>
      <c:valAx>
        <c:axId val="489288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489293688"/>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209550</xdr:colOff>
      <xdr:row>1</xdr:row>
      <xdr:rowOff>107950</xdr:rowOff>
    </xdr:from>
    <xdr:to>
      <xdr:col>5</xdr:col>
      <xdr:colOff>457200</xdr:colOff>
      <xdr:row>9</xdr:row>
      <xdr:rowOff>63500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111125</xdr:rowOff>
    </xdr:from>
    <xdr:to>
      <xdr:col>14</xdr:col>
      <xdr:colOff>857251</xdr:colOff>
      <xdr:row>2</xdr:row>
      <xdr:rowOff>304800</xdr:rowOff>
    </xdr:to>
    <xdr:sp macro="" textlink="">
      <xdr:nvSpPr>
        <xdr:cNvPr id="2" name="Round Single Corner Rectangle 1"/>
        <xdr:cNvSpPr/>
      </xdr:nvSpPr>
      <xdr:spPr>
        <a:xfrm>
          <a:off x="1" y="111125"/>
          <a:ext cx="16414750" cy="860425"/>
        </a:xfrm>
        <a:prstGeom prst="round1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a:solidFill>
                <a:schemeClr val="bg2"/>
              </a:solidFill>
            </a:rPr>
            <a:t>Hospital Data</a:t>
          </a:r>
          <a:r>
            <a:rPr lang="en-US" sz="5400" b="1" baseline="0">
              <a:solidFill>
                <a:schemeClr val="bg2"/>
              </a:solidFill>
            </a:rPr>
            <a:t> Analysis Dashboard</a:t>
          </a:r>
          <a:endParaRPr lang="en-US" sz="5400" b="1">
            <a:solidFill>
              <a:schemeClr val="bg2"/>
            </a:solidFill>
          </a:endParaRPr>
        </a:p>
      </xdr:txBody>
    </xdr:sp>
    <xdr:clientData/>
  </xdr:twoCellAnchor>
  <xdr:twoCellAnchor>
    <xdr:from>
      <xdr:col>0</xdr:col>
      <xdr:colOff>79372</xdr:colOff>
      <xdr:row>2</xdr:row>
      <xdr:rowOff>317500</xdr:rowOff>
    </xdr:from>
    <xdr:to>
      <xdr:col>7</xdr:col>
      <xdr:colOff>95249</xdr:colOff>
      <xdr:row>14</xdr:row>
      <xdr:rowOff>127000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437089</xdr:colOff>
      <xdr:row>2</xdr:row>
      <xdr:rowOff>365126</xdr:rowOff>
    </xdr:from>
    <xdr:to>
      <xdr:col>14</xdr:col>
      <xdr:colOff>809624</xdr:colOff>
      <xdr:row>14</xdr:row>
      <xdr:rowOff>195792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1000125</xdr:colOff>
      <xdr:row>3</xdr:row>
      <xdr:rowOff>158749</xdr:rowOff>
    </xdr:from>
    <xdr:to>
      <xdr:col>21</xdr:col>
      <xdr:colOff>1047751</xdr:colOff>
      <xdr:row>14</xdr:row>
      <xdr:rowOff>126999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21165</xdr:colOff>
      <xdr:row>15</xdr:row>
      <xdr:rowOff>127000</xdr:rowOff>
    </xdr:from>
    <xdr:to>
      <xdr:col>7</xdr:col>
      <xdr:colOff>95250</xdr:colOff>
      <xdr:row>26</xdr:row>
      <xdr:rowOff>280458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190499</xdr:colOff>
      <xdr:row>15</xdr:row>
      <xdr:rowOff>0</xdr:rowOff>
    </xdr:from>
    <xdr:to>
      <xdr:col>14</xdr:col>
      <xdr:colOff>555625</xdr:colOff>
      <xdr:row>27</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968375</xdr:colOff>
      <xdr:row>15</xdr:row>
      <xdr:rowOff>111125</xdr:rowOff>
    </xdr:from>
    <xdr:to>
      <xdr:col>21</xdr:col>
      <xdr:colOff>1047750</xdr:colOff>
      <xdr:row>26</xdr:row>
      <xdr:rowOff>301625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984250</xdr:colOff>
      <xdr:row>0</xdr:row>
      <xdr:rowOff>111126</xdr:rowOff>
    </xdr:from>
    <xdr:to>
      <xdr:col>21</xdr:col>
      <xdr:colOff>1095375</xdr:colOff>
      <xdr:row>3</xdr:row>
      <xdr:rowOff>47625</xdr:rowOff>
    </xdr:to>
    <mc:AlternateContent xmlns:mc="http://schemas.openxmlformats.org/markup-compatibility/2006">
      <mc:Choice xmlns:a14="http://schemas.microsoft.com/office/drawing/2010/main" Requires="a14">
        <xdr:graphicFrame macro="">
          <xdr:nvGraphicFramePr>
            <xdr:cNvPr id="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6541750" y="111126"/>
              <a:ext cx="8175625" cy="1000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1219200</xdr:colOff>
      <xdr:row>1</xdr:row>
      <xdr:rowOff>317500</xdr:rowOff>
    </xdr:from>
    <xdr:to>
      <xdr:col>4</xdr:col>
      <xdr:colOff>723900</xdr:colOff>
      <xdr:row>9</xdr:row>
      <xdr:rowOff>292100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355600</xdr:colOff>
      <xdr:row>1</xdr:row>
      <xdr:rowOff>88900</xdr:rowOff>
    </xdr:from>
    <xdr:to>
      <xdr:col>5</xdr:col>
      <xdr:colOff>1111250</xdr:colOff>
      <xdr:row>8</xdr:row>
      <xdr:rowOff>317500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419100</xdr:colOff>
      <xdr:row>1</xdr:row>
      <xdr:rowOff>57150</xdr:rowOff>
    </xdr:from>
    <xdr:to>
      <xdr:col>5</xdr:col>
      <xdr:colOff>742950</xdr:colOff>
      <xdr:row>9</xdr:row>
      <xdr:rowOff>158750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1270000</xdr:colOff>
      <xdr:row>1</xdr:row>
      <xdr:rowOff>190500</xdr:rowOff>
    </xdr:from>
    <xdr:to>
      <xdr:col>4</xdr:col>
      <xdr:colOff>247650</xdr:colOff>
      <xdr:row>9</xdr:row>
      <xdr:rowOff>292100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241300</xdr:colOff>
      <xdr:row>1</xdr:row>
      <xdr:rowOff>158750</xdr:rowOff>
    </xdr:from>
    <xdr:to>
      <xdr:col>5</xdr:col>
      <xdr:colOff>673100</xdr:colOff>
      <xdr:row>7</xdr:row>
      <xdr:rowOff>158750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0</xdr:row>
      <xdr:rowOff>0</xdr:rowOff>
    </xdr:from>
    <xdr:to>
      <xdr:col>7</xdr:col>
      <xdr:colOff>749300</xdr:colOff>
      <xdr:row>5</xdr:row>
      <xdr:rowOff>177800</xdr:rowOff>
    </xdr:to>
    <mc:AlternateContent xmlns:mc="http://schemas.openxmlformats.org/markup-compatibility/2006">
      <mc:Choice xmlns:a14="http://schemas.microsoft.com/office/drawing/2010/main"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153400" y="0"/>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orche" refreshedDate="46282.088442939814" createdVersion="6" refreshedVersion="6" minRefreshableVersion="3" recordCount="125">
  <cacheSource type="worksheet">
    <worksheetSource ref="A1:J126" sheet="HMS DATA"/>
  </cacheSource>
  <cacheFields count="11">
    <cacheField name="Patient_ID" numFmtId="0">
      <sharedItems/>
    </cacheField>
    <cacheField name="Patient_Name" numFmtId="0">
      <sharedItems/>
    </cacheField>
    <cacheField name="Age" numFmtId="0">
      <sharedItems containsSemiMixedTypes="0" containsString="0" containsNumber="1" containsInteger="1" minValue="19" maxValue="63" count="45">
        <n v="25"/>
        <n v="32"/>
        <n v="45"/>
        <n v="28"/>
        <n v="51"/>
        <n v="36"/>
        <n v="22"/>
        <n v="41"/>
        <n v="60"/>
        <n v="30"/>
        <n v="38"/>
        <n v="26"/>
        <n v="55"/>
        <n v="19"/>
        <n v="48"/>
        <n v="34"/>
        <n v="29"/>
        <n v="43"/>
        <n v="52"/>
        <n v="24"/>
        <n v="39"/>
        <n v="31"/>
        <n v="47"/>
        <n v="27"/>
        <n v="58"/>
        <n v="33"/>
        <n v="46"/>
        <n v="23"/>
        <n v="54"/>
        <n v="37"/>
        <n v="21"/>
        <n v="44"/>
        <n v="62"/>
        <n v="35"/>
        <n v="40"/>
        <n v="57"/>
        <n v="20"/>
        <n v="49"/>
        <n v="53"/>
        <n v="42"/>
        <n v="59"/>
        <n v="50"/>
        <n v="56"/>
        <n v="61"/>
        <n v="63"/>
      </sharedItems>
    </cacheField>
    <cacheField name="Gender" numFmtId="0">
      <sharedItems count="2">
        <s v="Male"/>
        <s v="Female"/>
      </sharedItems>
    </cacheField>
    <cacheField name="Department" numFmtId="0">
      <sharedItems count="5">
        <s v="Cardiology"/>
        <s v="Neurology"/>
        <s v="Orthopedics"/>
        <s v="Pediatrics"/>
        <s v="Dermatology"/>
      </sharedItems>
    </cacheField>
    <cacheField name="Doctor" numFmtId="0">
      <sharedItems count="5">
        <s v="Dr Ahmed"/>
        <s v="Dr Khan"/>
        <s v="Dr Ali"/>
        <s v="Dr Sana"/>
        <s v="Dr Hina"/>
      </sharedItems>
    </cacheField>
    <cacheField name="Visit_Type" numFmtId="0">
      <sharedItems count="3">
        <s v="OPD"/>
        <s v="Emergency"/>
        <s v="Admission"/>
      </sharedItems>
    </cacheField>
    <cacheField name="Payment_Method" numFmtId="0">
      <sharedItems count="3">
        <s v="Cash"/>
        <s v="Card"/>
        <s v="Online"/>
      </sharedItems>
    </cacheField>
    <cacheField name="Visit_Date" numFmtId="15">
      <sharedItems containsSemiMixedTypes="0" containsNonDate="0" containsDate="1" containsString="0" minDate="2026-09-01T00:00:00" maxDate="2026-10-17T00:00:00" count="46">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sharedItems>
      <fieldGroup par="10" base="8">
        <rangePr groupBy="days" startDate="2026-09-01T00:00:00" endDate="2026-10-17T00:00:00"/>
        <groupItems count="368">
          <s v="&lt;9/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7/2026"/>
        </groupItems>
      </fieldGroup>
    </cacheField>
    <cacheField name="Bill_Amount" numFmtId="0">
      <sharedItems containsSemiMixedTypes="0" containsString="0" containsNumber="1" containsInteger="1" minValue="2400" maxValue="27000"/>
    </cacheField>
    <cacheField name="Months" numFmtId="0" databaseField="0">
      <fieldGroup base="8">
        <rangePr groupBy="months" startDate="2026-09-01T00:00:00" endDate="2026-10-17T00:00:00"/>
        <groupItems count="14">
          <s v="&lt;9/1/2026"/>
          <s v="Jan"/>
          <s v="Feb"/>
          <s v="Mar"/>
          <s v="Apr"/>
          <s v="May"/>
          <s v="Jun"/>
          <s v="Jul"/>
          <s v="Aug"/>
          <s v="Sep"/>
          <s v="Oct"/>
          <s v="Nov"/>
          <s v="Dec"/>
          <s v="&gt;10/17/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5">
  <r>
    <s v="P001"/>
    <s v="Ali"/>
    <x v="0"/>
    <x v="0"/>
    <x v="0"/>
    <x v="0"/>
    <x v="0"/>
    <x v="0"/>
    <x v="0"/>
    <n v="5000"/>
  </r>
  <r>
    <s v="P002"/>
    <s v="Sara"/>
    <x v="1"/>
    <x v="1"/>
    <x v="1"/>
    <x v="1"/>
    <x v="0"/>
    <x v="1"/>
    <x v="0"/>
    <n v="7500"/>
  </r>
  <r>
    <s v="P003"/>
    <s v="Hamza"/>
    <x v="2"/>
    <x v="0"/>
    <x v="2"/>
    <x v="2"/>
    <x v="1"/>
    <x v="0"/>
    <x v="1"/>
    <n v="12000"/>
  </r>
  <r>
    <s v="P004"/>
    <s v="Ayesha"/>
    <x v="3"/>
    <x v="1"/>
    <x v="3"/>
    <x v="3"/>
    <x v="0"/>
    <x v="2"/>
    <x v="1"/>
    <n v="4000"/>
  </r>
  <r>
    <s v="P005"/>
    <s v="Usman"/>
    <x v="4"/>
    <x v="0"/>
    <x v="0"/>
    <x v="0"/>
    <x v="2"/>
    <x v="1"/>
    <x v="2"/>
    <n v="18000"/>
  </r>
  <r>
    <s v="P006"/>
    <s v="Fatima"/>
    <x v="5"/>
    <x v="1"/>
    <x v="1"/>
    <x v="1"/>
    <x v="0"/>
    <x v="0"/>
    <x v="2"/>
    <n v="6500"/>
  </r>
  <r>
    <s v="P007"/>
    <s v="Bilal"/>
    <x v="6"/>
    <x v="0"/>
    <x v="4"/>
    <x v="4"/>
    <x v="0"/>
    <x v="2"/>
    <x v="3"/>
    <n v="3500"/>
  </r>
  <r>
    <s v="P008"/>
    <s v="Maria"/>
    <x v="7"/>
    <x v="1"/>
    <x v="2"/>
    <x v="2"/>
    <x v="1"/>
    <x v="0"/>
    <x v="3"/>
    <n v="11000"/>
  </r>
  <r>
    <s v="P009"/>
    <s v="Omar"/>
    <x v="8"/>
    <x v="0"/>
    <x v="0"/>
    <x v="0"/>
    <x v="2"/>
    <x v="1"/>
    <x v="4"/>
    <n v="25000"/>
  </r>
  <r>
    <s v="P010"/>
    <s v="Zainab"/>
    <x v="9"/>
    <x v="1"/>
    <x v="3"/>
    <x v="3"/>
    <x v="0"/>
    <x v="0"/>
    <x v="4"/>
    <n v="4500"/>
  </r>
  <r>
    <s v="P011"/>
    <s v="Danish"/>
    <x v="10"/>
    <x v="0"/>
    <x v="1"/>
    <x v="1"/>
    <x v="0"/>
    <x v="2"/>
    <x v="5"/>
    <n v="7000"/>
  </r>
  <r>
    <s v="P012"/>
    <s v="Hira"/>
    <x v="11"/>
    <x v="1"/>
    <x v="4"/>
    <x v="4"/>
    <x v="0"/>
    <x v="1"/>
    <x v="5"/>
    <n v="3000"/>
  </r>
  <r>
    <s v="P013"/>
    <s v="Ahmed"/>
    <x v="12"/>
    <x v="0"/>
    <x v="0"/>
    <x v="0"/>
    <x v="1"/>
    <x v="0"/>
    <x v="6"/>
    <n v="15000"/>
  </r>
  <r>
    <s v="P014"/>
    <s v="Laiba"/>
    <x v="13"/>
    <x v="1"/>
    <x v="3"/>
    <x v="3"/>
    <x v="0"/>
    <x v="2"/>
    <x v="6"/>
    <n v="2500"/>
  </r>
  <r>
    <s v="P015"/>
    <s v="Shahid"/>
    <x v="14"/>
    <x v="0"/>
    <x v="2"/>
    <x v="2"/>
    <x v="2"/>
    <x v="1"/>
    <x v="7"/>
    <n v="20000"/>
  </r>
  <r>
    <s v="P016"/>
    <s v="Iqra"/>
    <x v="15"/>
    <x v="1"/>
    <x v="1"/>
    <x v="1"/>
    <x v="0"/>
    <x v="0"/>
    <x v="7"/>
    <n v="6000"/>
  </r>
  <r>
    <s v="P017"/>
    <s v="Waqas"/>
    <x v="16"/>
    <x v="0"/>
    <x v="4"/>
    <x v="4"/>
    <x v="0"/>
    <x v="2"/>
    <x v="8"/>
    <n v="3200"/>
  </r>
  <r>
    <s v="P018"/>
    <s v="Noor"/>
    <x v="17"/>
    <x v="1"/>
    <x v="0"/>
    <x v="0"/>
    <x v="1"/>
    <x v="0"/>
    <x v="8"/>
    <n v="13500"/>
  </r>
  <r>
    <s v="P019"/>
    <s v="Arslan"/>
    <x v="18"/>
    <x v="0"/>
    <x v="2"/>
    <x v="2"/>
    <x v="0"/>
    <x v="1"/>
    <x v="9"/>
    <n v="8500"/>
  </r>
  <r>
    <s v="P020"/>
    <s v="Mahnoor"/>
    <x v="19"/>
    <x v="1"/>
    <x v="3"/>
    <x v="3"/>
    <x v="0"/>
    <x v="2"/>
    <x v="9"/>
    <n v="2800"/>
  </r>
  <r>
    <s v="P021"/>
    <s v="Salman"/>
    <x v="20"/>
    <x v="0"/>
    <x v="1"/>
    <x v="1"/>
    <x v="2"/>
    <x v="0"/>
    <x v="10"/>
    <n v="17000"/>
  </r>
  <r>
    <s v="P022"/>
    <s v="Anum"/>
    <x v="21"/>
    <x v="1"/>
    <x v="4"/>
    <x v="4"/>
    <x v="0"/>
    <x v="1"/>
    <x v="10"/>
    <n v="4000"/>
  </r>
  <r>
    <s v="P023"/>
    <s v="Rehan"/>
    <x v="22"/>
    <x v="0"/>
    <x v="0"/>
    <x v="0"/>
    <x v="0"/>
    <x v="0"/>
    <x v="11"/>
    <n v="8000"/>
  </r>
  <r>
    <s v="P024"/>
    <s v="Sana"/>
    <x v="23"/>
    <x v="1"/>
    <x v="3"/>
    <x v="3"/>
    <x v="0"/>
    <x v="2"/>
    <x v="11"/>
    <n v="3500"/>
  </r>
  <r>
    <s v="P025"/>
    <s v="Kamran"/>
    <x v="24"/>
    <x v="0"/>
    <x v="2"/>
    <x v="2"/>
    <x v="1"/>
    <x v="0"/>
    <x v="12"/>
    <n v="14000"/>
  </r>
  <r>
    <s v="P026"/>
    <s v="Adeel"/>
    <x v="25"/>
    <x v="0"/>
    <x v="0"/>
    <x v="0"/>
    <x v="0"/>
    <x v="0"/>
    <x v="12"/>
    <n v="5500"/>
  </r>
  <r>
    <s v="P027"/>
    <s v="Maryam"/>
    <x v="16"/>
    <x v="1"/>
    <x v="1"/>
    <x v="1"/>
    <x v="0"/>
    <x v="1"/>
    <x v="12"/>
    <n v="6800"/>
  </r>
  <r>
    <s v="P028"/>
    <s v="Junaid"/>
    <x v="26"/>
    <x v="0"/>
    <x v="2"/>
    <x v="2"/>
    <x v="1"/>
    <x v="0"/>
    <x v="13"/>
    <n v="12500"/>
  </r>
  <r>
    <s v="P029"/>
    <s v="Komal"/>
    <x v="27"/>
    <x v="1"/>
    <x v="3"/>
    <x v="3"/>
    <x v="0"/>
    <x v="2"/>
    <x v="13"/>
    <n v="3200"/>
  </r>
  <r>
    <s v="P030"/>
    <s v="Imran"/>
    <x v="28"/>
    <x v="0"/>
    <x v="0"/>
    <x v="0"/>
    <x v="2"/>
    <x v="1"/>
    <x v="13"/>
    <n v="19500"/>
  </r>
  <r>
    <s v="P031"/>
    <s v="Rabia"/>
    <x v="29"/>
    <x v="1"/>
    <x v="1"/>
    <x v="1"/>
    <x v="0"/>
    <x v="0"/>
    <x v="14"/>
    <n v="6200"/>
  </r>
  <r>
    <s v="P032"/>
    <s v="Farhan"/>
    <x v="30"/>
    <x v="0"/>
    <x v="4"/>
    <x v="4"/>
    <x v="0"/>
    <x v="2"/>
    <x v="14"/>
    <n v="2800"/>
  </r>
  <r>
    <s v="P033"/>
    <s v="Nadia"/>
    <x v="31"/>
    <x v="1"/>
    <x v="2"/>
    <x v="2"/>
    <x v="1"/>
    <x v="0"/>
    <x v="14"/>
    <n v="11500"/>
  </r>
  <r>
    <s v="P034"/>
    <s v="Tariq"/>
    <x v="32"/>
    <x v="0"/>
    <x v="0"/>
    <x v="0"/>
    <x v="2"/>
    <x v="1"/>
    <x v="15"/>
    <n v="27000"/>
  </r>
  <r>
    <s v="P035"/>
    <s v="Sidra"/>
    <x v="33"/>
    <x v="1"/>
    <x v="3"/>
    <x v="3"/>
    <x v="0"/>
    <x v="0"/>
    <x v="15"/>
    <n v="4200"/>
  </r>
  <r>
    <s v="P036"/>
    <s v="Asad"/>
    <x v="34"/>
    <x v="0"/>
    <x v="1"/>
    <x v="1"/>
    <x v="0"/>
    <x v="2"/>
    <x v="15"/>
    <n v="7200"/>
  </r>
  <r>
    <s v="P037"/>
    <s v="Maham"/>
    <x v="23"/>
    <x v="1"/>
    <x v="4"/>
    <x v="4"/>
    <x v="0"/>
    <x v="1"/>
    <x v="16"/>
    <n v="3300"/>
  </r>
  <r>
    <s v="P038"/>
    <s v="Naveed"/>
    <x v="35"/>
    <x v="0"/>
    <x v="0"/>
    <x v="0"/>
    <x v="1"/>
    <x v="0"/>
    <x v="16"/>
    <n v="16000"/>
  </r>
  <r>
    <s v="P039"/>
    <s v="Eman"/>
    <x v="36"/>
    <x v="1"/>
    <x v="3"/>
    <x v="3"/>
    <x v="0"/>
    <x v="2"/>
    <x v="16"/>
    <n v="2600"/>
  </r>
  <r>
    <s v="P040"/>
    <s v="Adnan"/>
    <x v="37"/>
    <x v="0"/>
    <x v="2"/>
    <x v="2"/>
    <x v="2"/>
    <x v="1"/>
    <x v="17"/>
    <n v="21000"/>
  </r>
  <r>
    <s v="P041"/>
    <s v="Sehrish"/>
    <x v="1"/>
    <x v="1"/>
    <x v="1"/>
    <x v="1"/>
    <x v="0"/>
    <x v="0"/>
    <x v="17"/>
    <n v="5800"/>
  </r>
  <r>
    <s v="P042"/>
    <s v="Zohaib"/>
    <x v="9"/>
    <x v="0"/>
    <x v="4"/>
    <x v="4"/>
    <x v="0"/>
    <x v="2"/>
    <x v="17"/>
    <n v="3100"/>
  </r>
  <r>
    <s v="P043"/>
    <s v="Amna"/>
    <x v="2"/>
    <x v="1"/>
    <x v="0"/>
    <x v="0"/>
    <x v="1"/>
    <x v="0"/>
    <x v="18"/>
    <n v="14500"/>
  </r>
  <r>
    <s v="P044"/>
    <s v="Faisal"/>
    <x v="38"/>
    <x v="0"/>
    <x v="2"/>
    <x v="2"/>
    <x v="0"/>
    <x v="1"/>
    <x v="18"/>
    <n v="9000"/>
  </r>
  <r>
    <s v="P045"/>
    <s v="Alina"/>
    <x v="0"/>
    <x v="1"/>
    <x v="3"/>
    <x v="3"/>
    <x v="0"/>
    <x v="2"/>
    <x v="18"/>
    <n v="2900"/>
  </r>
  <r>
    <s v="P046"/>
    <s v="Hassan"/>
    <x v="39"/>
    <x v="0"/>
    <x v="1"/>
    <x v="1"/>
    <x v="2"/>
    <x v="0"/>
    <x v="19"/>
    <n v="17500"/>
  </r>
  <r>
    <s v="P047"/>
    <s v="Misbah"/>
    <x v="10"/>
    <x v="1"/>
    <x v="4"/>
    <x v="4"/>
    <x v="0"/>
    <x v="1"/>
    <x v="19"/>
    <n v="3700"/>
  </r>
  <r>
    <s v="P048"/>
    <s v="Shahzaib"/>
    <x v="33"/>
    <x v="0"/>
    <x v="0"/>
    <x v="0"/>
    <x v="0"/>
    <x v="0"/>
    <x v="19"/>
    <n v="7800"/>
  </r>
  <r>
    <s v="P049"/>
    <s v="Minahil"/>
    <x v="6"/>
    <x v="1"/>
    <x v="3"/>
    <x v="3"/>
    <x v="0"/>
    <x v="2"/>
    <x v="20"/>
    <n v="3100"/>
  </r>
  <r>
    <s v="P050"/>
    <s v="Irfan"/>
    <x v="40"/>
    <x v="0"/>
    <x v="2"/>
    <x v="2"/>
    <x v="1"/>
    <x v="0"/>
    <x v="20"/>
    <n v="13500"/>
  </r>
  <r>
    <s v="P051"/>
    <s v="Azhar"/>
    <x v="22"/>
    <x v="0"/>
    <x v="0"/>
    <x v="0"/>
    <x v="0"/>
    <x v="1"/>
    <x v="20"/>
    <n v="6500"/>
  </r>
  <r>
    <s v="P052"/>
    <s v="Sumbal"/>
    <x v="3"/>
    <x v="1"/>
    <x v="1"/>
    <x v="1"/>
    <x v="0"/>
    <x v="0"/>
    <x v="21"/>
    <n v="5900"/>
  </r>
  <r>
    <s v="P053"/>
    <s v="Yasir"/>
    <x v="5"/>
    <x v="0"/>
    <x v="4"/>
    <x v="4"/>
    <x v="0"/>
    <x v="2"/>
    <x v="21"/>
    <n v="3400"/>
  </r>
  <r>
    <s v="P054"/>
    <s v="Shazia"/>
    <x v="41"/>
    <x v="1"/>
    <x v="2"/>
    <x v="2"/>
    <x v="2"/>
    <x v="1"/>
    <x v="21"/>
    <n v="22000"/>
  </r>
  <r>
    <s v="P055"/>
    <s v="Usama"/>
    <x v="21"/>
    <x v="0"/>
    <x v="0"/>
    <x v="0"/>
    <x v="1"/>
    <x v="0"/>
    <x v="22"/>
    <n v="15500"/>
  </r>
  <r>
    <s v="P056"/>
    <s v="Anaya"/>
    <x v="19"/>
    <x v="1"/>
    <x v="3"/>
    <x v="3"/>
    <x v="0"/>
    <x v="2"/>
    <x v="22"/>
    <n v="2700"/>
  </r>
  <r>
    <s v="P057"/>
    <s v="Salik"/>
    <x v="17"/>
    <x v="0"/>
    <x v="1"/>
    <x v="1"/>
    <x v="0"/>
    <x v="0"/>
    <x v="22"/>
    <n v="7100"/>
  </r>
  <r>
    <s v="P058"/>
    <s v="Kinza"/>
    <x v="20"/>
    <x v="1"/>
    <x v="4"/>
    <x v="4"/>
    <x v="0"/>
    <x v="1"/>
    <x v="23"/>
    <n v="3900"/>
  </r>
  <r>
    <s v="P059"/>
    <s v="Awais"/>
    <x v="42"/>
    <x v="0"/>
    <x v="2"/>
    <x v="2"/>
    <x v="2"/>
    <x v="0"/>
    <x v="23"/>
    <n v="18500"/>
  </r>
  <r>
    <s v="P060"/>
    <s v="Mahira"/>
    <x v="11"/>
    <x v="1"/>
    <x v="0"/>
    <x v="0"/>
    <x v="0"/>
    <x v="2"/>
    <x v="23"/>
    <n v="5100"/>
  </r>
  <r>
    <s v="P061"/>
    <s v="Rehman"/>
    <x v="14"/>
    <x v="0"/>
    <x v="1"/>
    <x v="1"/>
    <x v="1"/>
    <x v="0"/>
    <x v="24"/>
    <n v="13000"/>
  </r>
  <r>
    <s v="P062"/>
    <s v="Hafsa"/>
    <x v="25"/>
    <x v="1"/>
    <x v="3"/>
    <x v="3"/>
    <x v="0"/>
    <x v="1"/>
    <x v="24"/>
    <n v="3600"/>
  </r>
  <r>
    <s v="P063"/>
    <s v="Danish"/>
    <x v="16"/>
    <x v="0"/>
    <x v="4"/>
    <x v="4"/>
    <x v="0"/>
    <x v="2"/>
    <x v="24"/>
    <n v="2900"/>
  </r>
  <r>
    <s v="P064"/>
    <s v="Saad"/>
    <x v="18"/>
    <x v="0"/>
    <x v="0"/>
    <x v="0"/>
    <x v="2"/>
    <x v="1"/>
    <x v="25"/>
    <n v="23000"/>
  </r>
  <r>
    <s v="P065"/>
    <s v="Areeba"/>
    <x v="9"/>
    <x v="1"/>
    <x v="2"/>
    <x v="2"/>
    <x v="0"/>
    <x v="0"/>
    <x v="25"/>
    <n v="7600"/>
  </r>
  <r>
    <s v="P066"/>
    <s v="Shayan"/>
    <x v="7"/>
    <x v="0"/>
    <x v="1"/>
    <x v="1"/>
    <x v="0"/>
    <x v="2"/>
    <x v="25"/>
    <n v="6900"/>
  </r>
  <r>
    <s v="P067"/>
    <s v="Tooba"/>
    <x v="27"/>
    <x v="1"/>
    <x v="4"/>
    <x v="4"/>
    <x v="0"/>
    <x v="1"/>
    <x v="26"/>
    <n v="3500"/>
  </r>
  <r>
    <s v="P068"/>
    <s v="Arham"/>
    <x v="12"/>
    <x v="0"/>
    <x v="0"/>
    <x v="0"/>
    <x v="1"/>
    <x v="0"/>
    <x v="26"/>
    <n v="14800"/>
  </r>
  <r>
    <s v="P069"/>
    <s v="Anusha"/>
    <x v="23"/>
    <x v="1"/>
    <x v="3"/>
    <x v="3"/>
    <x v="0"/>
    <x v="2"/>
    <x v="26"/>
    <n v="3000"/>
  </r>
  <r>
    <s v="P070"/>
    <s v="Noman"/>
    <x v="2"/>
    <x v="0"/>
    <x v="2"/>
    <x v="2"/>
    <x v="2"/>
    <x v="1"/>
    <x v="27"/>
    <n v="20500"/>
  </r>
  <r>
    <s v="P071"/>
    <s v="Humaira"/>
    <x v="5"/>
    <x v="1"/>
    <x v="1"/>
    <x v="1"/>
    <x v="0"/>
    <x v="0"/>
    <x v="27"/>
    <n v="6400"/>
  </r>
  <r>
    <s v="P072"/>
    <s v="Rizwan"/>
    <x v="15"/>
    <x v="0"/>
    <x v="4"/>
    <x v="4"/>
    <x v="0"/>
    <x v="2"/>
    <x v="27"/>
    <n v="3600"/>
  </r>
  <r>
    <s v="P073"/>
    <s v="Saira"/>
    <x v="37"/>
    <x v="1"/>
    <x v="0"/>
    <x v="0"/>
    <x v="1"/>
    <x v="0"/>
    <x v="28"/>
    <n v="14200"/>
  </r>
  <r>
    <s v="P074"/>
    <s v="Waleed"/>
    <x v="20"/>
    <x v="0"/>
    <x v="2"/>
    <x v="2"/>
    <x v="0"/>
    <x v="1"/>
    <x v="28"/>
    <n v="8200"/>
  </r>
  <r>
    <s v="P075"/>
    <s v="Momina"/>
    <x v="30"/>
    <x v="1"/>
    <x v="3"/>
    <x v="3"/>
    <x v="0"/>
    <x v="2"/>
    <x v="28"/>
    <n v="2400"/>
  </r>
  <r>
    <s v="P076"/>
    <s v="Shahab"/>
    <x v="24"/>
    <x v="0"/>
    <x v="1"/>
    <x v="1"/>
    <x v="2"/>
    <x v="0"/>
    <x v="29"/>
    <n v="19000"/>
  </r>
  <r>
    <s v="P077"/>
    <s v="Irum"/>
    <x v="21"/>
    <x v="1"/>
    <x v="4"/>
    <x v="4"/>
    <x v="0"/>
    <x v="1"/>
    <x v="29"/>
    <n v="4100"/>
  </r>
  <r>
    <s v="P078"/>
    <s v="Kashif"/>
    <x v="31"/>
    <x v="0"/>
    <x v="0"/>
    <x v="0"/>
    <x v="0"/>
    <x v="0"/>
    <x v="29"/>
    <n v="8500"/>
  </r>
  <r>
    <s v="P079"/>
    <s v="Neha"/>
    <x v="11"/>
    <x v="1"/>
    <x v="3"/>
    <x v="3"/>
    <x v="0"/>
    <x v="2"/>
    <x v="30"/>
    <n v="2800"/>
  </r>
  <r>
    <s v="P080"/>
    <s v="Sohail"/>
    <x v="43"/>
    <x v="0"/>
    <x v="2"/>
    <x v="2"/>
    <x v="1"/>
    <x v="0"/>
    <x v="30"/>
    <n v="15000"/>
  </r>
  <r>
    <s v="P081"/>
    <s v="Shahida"/>
    <x v="34"/>
    <x v="1"/>
    <x v="0"/>
    <x v="0"/>
    <x v="0"/>
    <x v="1"/>
    <x v="30"/>
    <n v="7300"/>
  </r>
  <r>
    <s v="P082"/>
    <s v="Haris"/>
    <x v="3"/>
    <x v="0"/>
    <x v="1"/>
    <x v="1"/>
    <x v="0"/>
    <x v="0"/>
    <x v="31"/>
    <n v="6100"/>
  </r>
  <r>
    <s v="P083"/>
    <s v="Maria"/>
    <x v="15"/>
    <x v="1"/>
    <x v="4"/>
    <x v="4"/>
    <x v="0"/>
    <x v="2"/>
    <x v="31"/>
    <n v="3200"/>
  </r>
  <r>
    <s v="P084"/>
    <s v="Rauf"/>
    <x v="4"/>
    <x v="0"/>
    <x v="2"/>
    <x v="2"/>
    <x v="2"/>
    <x v="1"/>
    <x v="31"/>
    <n v="21500"/>
  </r>
  <r>
    <s v="P085"/>
    <s v="Samira"/>
    <x v="16"/>
    <x v="1"/>
    <x v="3"/>
    <x v="3"/>
    <x v="0"/>
    <x v="0"/>
    <x v="32"/>
    <n v="3900"/>
  </r>
  <r>
    <s v="P086"/>
    <s v="Shahryar"/>
    <x v="26"/>
    <x v="0"/>
    <x v="0"/>
    <x v="0"/>
    <x v="1"/>
    <x v="0"/>
    <x v="32"/>
    <n v="15200"/>
  </r>
  <r>
    <s v="P087"/>
    <s v="Afra"/>
    <x v="29"/>
    <x v="1"/>
    <x v="1"/>
    <x v="1"/>
    <x v="0"/>
    <x v="2"/>
    <x v="32"/>
    <n v="6700"/>
  </r>
  <r>
    <s v="P088"/>
    <s v="Adil"/>
    <x v="1"/>
    <x v="0"/>
    <x v="4"/>
    <x v="4"/>
    <x v="0"/>
    <x v="1"/>
    <x v="33"/>
    <n v="3000"/>
  </r>
  <r>
    <s v="P089"/>
    <s v="Fariha"/>
    <x v="17"/>
    <x v="1"/>
    <x v="2"/>
    <x v="2"/>
    <x v="2"/>
    <x v="0"/>
    <x v="33"/>
    <n v="18000"/>
  </r>
  <r>
    <s v="P090"/>
    <s v="Wasif"/>
    <x v="41"/>
    <x v="0"/>
    <x v="0"/>
    <x v="0"/>
    <x v="0"/>
    <x v="2"/>
    <x v="34"/>
    <n v="7900"/>
  </r>
  <r>
    <s v="P091"/>
    <s v="Sanam"/>
    <x v="19"/>
    <x v="1"/>
    <x v="3"/>
    <x v="3"/>
    <x v="0"/>
    <x v="1"/>
    <x v="34"/>
    <n v="2700"/>
  </r>
  <r>
    <s v="P092"/>
    <s v="Mubashir"/>
    <x v="35"/>
    <x v="0"/>
    <x v="1"/>
    <x v="1"/>
    <x v="1"/>
    <x v="0"/>
    <x v="34"/>
    <n v="12800"/>
  </r>
  <r>
    <s v="P093"/>
    <s v="Laiba"/>
    <x v="9"/>
    <x v="1"/>
    <x v="4"/>
    <x v="4"/>
    <x v="0"/>
    <x v="2"/>
    <x v="35"/>
    <n v="3500"/>
  </r>
  <r>
    <s v="P094"/>
    <s v="Shafiq"/>
    <x v="14"/>
    <x v="0"/>
    <x v="2"/>
    <x v="2"/>
    <x v="0"/>
    <x v="0"/>
    <x v="35"/>
    <n v="8800"/>
  </r>
  <r>
    <s v="P095"/>
    <s v="Rimsha"/>
    <x v="6"/>
    <x v="1"/>
    <x v="0"/>
    <x v="0"/>
    <x v="0"/>
    <x v="1"/>
    <x v="35"/>
    <n v="5200"/>
  </r>
  <r>
    <s v="P096"/>
    <s v="Akbar"/>
    <x v="44"/>
    <x v="0"/>
    <x v="0"/>
    <x v="0"/>
    <x v="2"/>
    <x v="0"/>
    <x v="36"/>
    <n v="26000"/>
  </r>
  <r>
    <s v="P097"/>
    <s v="Anum"/>
    <x v="33"/>
    <x v="1"/>
    <x v="1"/>
    <x v="1"/>
    <x v="0"/>
    <x v="2"/>
    <x v="36"/>
    <n v="6300"/>
  </r>
  <r>
    <s v="P098"/>
    <s v="Shehryar"/>
    <x v="23"/>
    <x v="0"/>
    <x v="4"/>
    <x v="4"/>
    <x v="0"/>
    <x v="1"/>
    <x v="36"/>
    <n v="3100"/>
  </r>
  <r>
    <s v="P099"/>
    <s v="Komal"/>
    <x v="39"/>
    <x v="1"/>
    <x v="2"/>
    <x v="2"/>
    <x v="1"/>
    <x v="0"/>
    <x v="37"/>
    <n v="11800"/>
  </r>
  <r>
    <s v="P100"/>
    <s v="Arsalan"/>
    <x v="38"/>
    <x v="0"/>
    <x v="3"/>
    <x v="3"/>
    <x v="0"/>
    <x v="2"/>
    <x v="37"/>
    <n v="4300"/>
  </r>
  <r>
    <s v="P101"/>
    <s v="Fahad"/>
    <x v="10"/>
    <x v="0"/>
    <x v="0"/>
    <x v="0"/>
    <x v="0"/>
    <x v="0"/>
    <x v="37"/>
    <n v="6900"/>
  </r>
  <r>
    <s v="P102"/>
    <s v="Alishba"/>
    <x v="0"/>
    <x v="1"/>
    <x v="1"/>
    <x v="1"/>
    <x v="0"/>
    <x v="1"/>
    <x v="38"/>
    <n v="5700"/>
  </r>
  <r>
    <s v="P103"/>
    <s v="Sameer"/>
    <x v="22"/>
    <x v="0"/>
    <x v="2"/>
    <x v="2"/>
    <x v="2"/>
    <x v="0"/>
    <x v="38"/>
    <n v="19800"/>
  </r>
  <r>
    <s v="P104"/>
    <s v="Hania"/>
    <x v="16"/>
    <x v="1"/>
    <x v="3"/>
    <x v="3"/>
    <x v="0"/>
    <x v="2"/>
    <x v="38"/>
    <n v="3300"/>
  </r>
  <r>
    <s v="P105"/>
    <s v="Nasir"/>
    <x v="40"/>
    <x v="0"/>
    <x v="0"/>
    <x v="0"/>
    <x v="1"/>
    <x v="0"/>
    <x v="39"/>
    <n v="16500"/>
  </r>
  <r>
    <s v="P106"/>
    <s v="Momina"/>
    <x v="25"/>
    <x v="1"/>
    <x v="4"/>
    <x v="4"/>
    <x v="0"/>
    <x v="1"/>
    <x v="39"/>
    <n v="3800"/>
  </r>
  <r>
    <s v="P107"/>
    <s v="Shahbaz"/>
    <x v="7"/>
    <x v="0"/>
    <x v="1"/>
    <x v="1"/>
    <x v="0"/>
    <x v="2"/>
    <x v="39"/>
    <n v="7400"/>
  </r>
  <r>
    <s v="P108"/>
    <s v="Sehr"/>
    <x v="27"/>
    <x v="1"/>
    <x v="3"/>
    <x v="3"/>
    <x v="0"/>
    <x v="0"/>
    <x v="40"/>
    <n v="2900"/>
  </r>
  <r>
    <s v="P109"/>
    <s v="Asim"/>
    <x v="28"/>
    <x v="0"/>
    <x v="2"/>
    <x v="2"/>
    <x v="2"/>
    <x v="1"/>
    <x v="40"/>
    <n v="22500"/>
  </r>
  <r>
    <s v="P110"/>
    <s v="Aiman"/>
    <x v="5"/>
    <x v="1"/>
    <x v="0"/>
    <x v="0"/>
    <x v="0"/>
    <x v="2"/>
    <x v="40"/>
    <n v="6100"/>
  </r>
  <r>
    <s v="P111"/>
    <s v="Rehan"/>
    <x v="2"/>
    <x v="0"/>
    <x v="1"/>
    <x v="1"/>
    <x v="1"/>
    <x v="0"/>
    <x v="41"/>
    <n v="13500"/>
  </r>
  <r>
    <s v="P112"/>
    <s v="Sadia"/>
    <x v="3"/>
    <x v="1"/>
    <x v="4"/>
    <x v="4"/>
    <x v="0"/>
    <x v="1"/>
    <x v="41"/>
    <n v="3400"/>
  </r>
  <r>
    <s v="P113"/>
    <s v="Shahid"/>
    <x v="8"/>
    <x v="0"/>
    <x v="0"/>
    <x v="0"/>
    <x v="2"/>
    <x v="0"/>
    <x v="41"/>
    <n v="24500"/>
  </r>
  <r>
    <s v="P114"/>
    <s v="Noor"/>
    <x v="21"/>
    <x v="1"/>
    <x v="3"/>
    <x v="3"/>
    <x v="0"/>
    <x v="2"/>
    <x v="42"/>
    <n v="3600"/>
  </r>
  <r>
    <s v="P115"/>
    <s v="Arif"/>
    <x v="37"/>
    <x v="0"/>
    <x v="2"/>
    <x v="2"/>
    <x v="0"/>
    <x v="0"/>
    <x v="42"/>
    <n v="9100"/>
  </r>
  <r>
    <s v="P116"/>
    <s v="Shumaila"/>
    <x v="15"/>
    <x v="1"/>
    <x v="1"/>
    <x v="1"/>
    <x v="0"/>
    <x v="1"/>
    <x v="42"/>
    <n v="6800"/>
  </r>
  <r>
    <s v="P117"/>
    <s v="Zubair"/>
    <x v="11"/>
    <x v="0"/>
    <x v="4"/>
    <x v="4"/>
    <x v="0"/>
    <x v="2"/>
    <x v="43"/>
    <n v="2900"/>
  </r>
  <r>
    <s v="P118"/>
    <s v="Shabana"/>
    <x v="18"/>
    <x v="1"/>
    <x v="0"/>
    <x v="0"/>
    <x v="1"/>
    <x v="0"/>
    <x v="43"/>
    <n v="15000"/>
  </r>
  <r>
    <s v="P119"/>
    <s v="Amir"/>
    <x v="17"/>
    <x v="0"/>
    <x v="2"/>
    <x v="2"/>
    <x v="2"/>
    <x v="1"/>
    <x v="43"/>
    <n v="20500"/>
  </r>
  <r>
    <s v="P120"/>
    <s v="Sana"/>
    <x v="23"/>
    <x v="1"/>
    <x v="3"/>
    <x v="3"/>
    <x v="0"/>
    <x v="2"/>
    <x v="44"/>
    <n v="3100"/>
  </r>
  <r>
    <s v="P121"/>
    <s v="Khalid"/>
    <x v="42"/>
    <x v="0"/>
    <x v="1"/>
    <x v="1"/>
    <x v="2"/>
    <x v="0"/>
    <x v="44"/>
    <n v="18500"/>
  </r>
  <r>
    <s v="P122"/>
    <s v="Sehrish"/>
    <x v="20"/>
    <x v="1"/>
    <x v="4"/>
    <x v="4"/>
    <x v="0"/>
    <x v="1"/>
    <x v="44"/>
    <n v="4200"/>
  </r>
  <r>
    <s v="P123"/>
    <s v="Babar"/>
    <x v="41"/>
    <x v="0"/>
    <x v="0"/>
    <x v="0"/>
    <x v="0"/>
    <x v="0"/>
    <x v="45"/>
    <n v="8200"/>
  </r>
  <r>
    <s v="P124"/>
    <s v="Maham"/>
    <x v="19"/>
    <x v="1"/>
    <x v="3"/>
    <x v="3"/>
    <x v="0"/>
    <x v="2"/>
    <x v="45"/>
    <n v="2800"/>
  </r>
  <r>
    <s v="P125"/>
    <s v="Javed"/>
    <x v="32"/>
    <x v="0"/>
    <x v="2"/>
    <x v="2"/>
    <x v="1"/>
    <x v="0"/>
    <x v="45"/>
    <n v="14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1">
    <pivotField dataField="1" showAll="0"/>
    <pivotField showAll="0"/>
    <pivotField showAll="0"/>
    <pivotField showAll="0">
      <items count="3">
        <item x="1"/>
        <item x="0"/>
        <item t="default"/>
      </items>
    </pivotField>
    <pivotField axis="axisRow" showAll="0">
      <items count="6">
        <item x="0"/>
        <item x="4"/>
        <item x="1"/>
        <item x="2"/>
        <item x="3"/>
        <item t="default"/>
      </items>
    </pivotField>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Count of Patient_ID" fld="0" subtotal="count"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1">
    <pivotField showAll="0"/>
    <pivotField showAll="0"/>
    <pivotField showAll="0"/>
    <pivotField showAll="0">
      <items count="3">
        <item x="1"/>
        <item x="0"/>
        <item t="default"/>
      </items>
    </pivotField>
    <pivotField axis="axisRow" showAll="0">
      <items count="6">
        <item x="0"/>
        <item x="4"/>
        <item x="1"/>
        <item x="2"/>
        <item x="3"/>
        <item t="default"/>
      </items>
    </pivotField>
    <pivotField showAll="0">
      <items count="6">
        <item x="0"/>
        <item x="2"/>
        <item x="4"/>
        <item x="1"/>
        <item x="3"/>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Sum of Bill_Amount" fld="9"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1">
    <pivotField dataField="1" showAll="0"/>
    <pivotField showAll="0"/>
    <pivotField showAll="0"/>
    <pivotField showAll="0">
      <items count="3">
        <item x="1"/>
        <item x="0"/>
        <item t="default"/>
      </items>
    </pivotField>
    <pivotField showAll="0"/>
    <pivotField showAll="0"/>
    <pivotField axis="axisRow" showAll="0">
      <items count="4">
        <item x="2"/>
        <item x="1"/>
        <item x="0"/>
        <item t="default"/>
      </items>
    </pivotField>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Count of Patient_ID" fld="0" subtotal="count" baseField="0" baseItem="0"/>
  </dataFields>
  <chartFormats count="8">
    <chartFormat chart="0"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1">
    <pivotField showAll="0"/>
    <pivotField showAll="0"/>
    <pivotField showAll="0"/>
    <pivotField showAll="0">
      <items count="3">
        <item x="1"/>
        <item x="0"/>
        <item t="default"/>
      </items>
    </pivotField>
    <pivotField showAll="0"/>
    <pivotField showAll="0"/>
    <pivotField showAll="0"/>
    <pivotField axis="axisRow" showAll="0">
      <items count="4">
        <item x="1"/>
        <item x="0"/>
        <item x="2"/>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defaultSubtotal="0">
      <items count="14">
        <item x="0"/>
        <item x="1"/>
        <item x="2"/>
        <item x="3"/>
        <item x="4"/>
        <item x="5"/>
        <item x="6"/>
        <item x="7"/>
        <item x="8"/>
        <item x="9"/>
        <item x="10"/>
        <item x="11"/>
        <item x="12"/>
        <item x="13"/>
      </items>
    </pivotField>
  </pivotFields>
  <rowFields count="1">
    <field x="7"/>
  </rowFields>
  <rowItems count="4">
    <i>
      <x/>
    </i>
    <i>
      <x v="1"/>
    </i>
    <i>
      <x v="2"/>
    </i>
    <i t="grand">
      <x/>
    </i>
  </rowItems>
  <colItems count="1">
    <i/>
  </colItems>
  <dataFields count="1">
    <dataField name="Sum of Bill_Amount" fld="9" baseField="0" baseItem="0"/>
  </dataFields>
  <chartFormats count="8">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0"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6" firstHeaderRow="1" firstDataRow="1" firstDataCol="1"/>
  <pivotFields count="11">
    <pivotField dataField="1" showAll="0"/>
    <pivotField showAll="0"/>
    <pivotField showAll="0"/>
    <pivotField showAll="0">
      <items count="3">
        <item x="1"/>
        <item x="0"/>
        <item t="default"/>
      </items>
    </pivotField>
    <pivotField showAll="0"/>
    <pivotField showAll="0"/>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8"/>
  </rowFields>
  <rowItems count="3">
    <i>
      <x v="9"/>
    </i>
    <i>
      <x v="10"/>
    </i>
    <i t="grand">
      <x/>
    </i>
  </rowItems>
  <colItems count="1">
    <i/>
  </colItems>
  <dataFields count="1">
    <dataField name="Count of Patient_ID" fld="0" subtotal="count"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1">
    <pivotField showAll="0"/>
    <pivotField showAll="0"/>
    <pivotField showAll="0">
      <items count="46">
        <item x="13"/>
        <item x="36"/>
        <item x="30"/>
        <item x="6"/>
        <item x="27"/>
        <item x="19"/>
        <item x="0"/>
        <item x="11"/>
        <item x="23"/>
        <item x="3"/>
        <item x="16"/>
        <item x="9"/>
        <item x="21"/>
        <item x="1"/>
        <item x="25"/>
        <item x="15"/>
        <item x="33"/>
        <item x="5"/>
        <item x="29"/>
        <item x="10"/>
        <item x="20"/>
        <item x="34"/>
        <item x="7"/>
        <item x="39"/>
        <item x="17"/>
        <item x="31"/>
        <item x="2"/>
        <item x="26"/>
        <item x="22"/>
        <item x="14"/>
        <item x="37"/>
        <item x="41"/>
        <item x="4"/>
        <item x="18"/>
        <item x="38"/>
        <item x="28"/>
        <item x="12"/>
        <item x="42"/>
        <item x="35"/>
        <item x="24"/>
        <item x="40"/>
        <item x="8"/>
        <item x="43"/>
        <item x="32"/>
        <item x="44"/>
        <item t="default"/>
      </items>
    </pivotField>
    <pivotField showAll="0">
      <items count="3">
        <item x="1"/>
        <item x="0"/>
        <item t="default"/>
      </items>
    </pivotField>
    <pivotField showAll="0"/>
    <pivotField showAll="0">
      <items count="6">
        <item x="0"/>
        <item x="2"/>
        <item x="4"/>
        <item x="1"/>
        <item x="3"/>
        <item t="default"/>
      </items>
    </pivotField>
    <pivotField axis="axisRow" showAll="0">
      <items count="4">
        <item x="2"/>
        <item x="1"/>
        <item x="0"/>
        <item t="default"/>
      </items>
    </pivotField>
    <pivotField showAll="0"/>
    <pivotField numFmtId="15" showAll="0"/>
    <pivotField dataField="1" showAll="0"/>
    <pivotField showAll="0" defaultSubtotal="0"/>
  </pivotFields>
  <rowFields count="1">
    <field x="6"/>
  </rowFields>
  <rowItems count="4">
    <i>
      <x/>
    </i>
    <i>
      <x v="1"/>
    </i>
    <i>
      <x v="2"/>
    </i>
    <i t="grand">
      <x/>
    </i>
  </rowItems>
  <colItems count="1">
    <i/>
  </colItems>
  <dataFields count="1">
    <dataField name="Sum of Bill_Amount" fld="9" baseField="0" baseItem="0"/>
  </dataFields>
  <chartFormats count="2">
    <chartFormat chart="0" format="4"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1">
    <pivotField showAll="0"/>
    <pivotField showAll="0"/>
    <pivotField showAll="0"/>
    <pivotField showAll="0">
      <items count="3">
        <item x="1"/>
        <item x="0"/>
        <item t="default"/>
      </items>
    </pivotField>
    <pivotField showAll="0"/>
    <pivotField showAll="0"/>
    <pivotField showAll="0"/>
    <pivotField showAll="0"/>
    <pivotField numFmtId="15" showAll="0"/>
    <pivotField showAl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0" name="PivotTable6"/>
    <pivotTable tabId="11" name="PivotTable1"/>
    <pivotTable tabId="8" name="PivotTable4"/>
    <pivotTable tabId="6" name="PivotTable2"/>
    <pivotTable tabId="4" name="PivotTable1"/>
    <pivotTable tabId="9" name="PivotTable5"/>
    <pivotTable tabId="7" name="PivotTable3"/>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columnCount="2" showCaption="0" style="SlicerStyleDark3" rowHeight="109728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4212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R126"/>
  <sheetViews>
    <sheetView zoomScale="64" zoomScaleNormal="64" workbookViewId="0">
      <selection activeCell="A113" sqref="A113"/>
    </sheetView>
  </sheetViews>
  <sheetFormatPr defaultRowHeight="26" x14ac:dyDescent="0.6"/>
  <cols>
    <col min="1" max="1" width="9.84765625" customWidth="1"/>
    <col min="2" max="2" width="14.546875" customWidth="1"/>
    <col min="3" max="3" width="7.09765625" customWidth="1"/>
    <col min="4" max="4" width="8.19921875" customWidth="1"/>
    <col min="5" max="5" width="14.3984375" bestFit="1" customWidth="1"/>
    <col min="6" max="6" width="10.046875" bestFit="1" customWidth="1"/>
    <col min="7" max="7" width="12.75" bestFit="1" customWidth="1"/>
    <col min="8" max="8" width="18.25" customWidth="1"/>
    <col min="9" max="9" width="12.6484375" bestFit="1" customWidth="1"/>
    <col min="10" max="10" width="12.25" bestFit="1" customWidth="1"/>
    <col min="12" max="12" width="12" bestFit="1" customWidth="1"/>
    <col min="13" max="13" width="10.5" bestFit="1" customWidth="1"/>
    <col min="15" max="15" width="25.296875" customWidth="1"/>
    <col min="19" max="19" width="10.34765625" bestFit="1" customWidth="1"/>
    <col min="20" max="20" width="12.25" bestFit="1" customWidth="1"/>
    <col min="21" max="21" width="2.09765625" customWidth="1"/>
    <col min="22" max="22" width="10.5" bestFit="1" customWidth="1"/>
    <col min="23" max="23" width="14.046875" bestFit="1" customWidth="1"/>
    <col min="24" max="24" width="4.25" bestFit="1" customWidth="1"/>
    <col min="26" max="26" width="12" bestFit="1" customWidth="1"/>
    <col min="28" max="28" width="11.046875" customWidth="1"/>
    <col min="29" max="29" width="17.44921875" bestFit="1" customWidth="1"/>
    <col min="30" max="30" width="10.34765625" bestFit="1" customWidth="1"/>
    <col min="31" max="31" width="12.25" bestFit="1" customWidth="1"/>
    <col min="32" max="32" width="8.796875" customWidth="1"/>
    <col min="33" max="33" width="10.5" bestFit="1" customWidth="1"/>
    <col min="34" max="34" width="14.046875" bestFit="1" customWidth="1"/>
    <col min="35" max="35" width="4.25" bestFit="1" customWidth="1"/>
    <col min="36" max="36" width="7.546875" bestFit="1" customWidth="1"/>
    <col min="37" max="37" width="12" bestFit="1" customWidth="1"/>
    <col min="38" max="38" width="7.09765625" bestFit="1" customWidth="1"/>
    <col min="39" max="39" width="10.34765625" bestFit="1" customWidth="1"/>
    <col min="40" max="40" width="17.44921875" bestFit="1" customWidth="1"/>
    <col min="41" max="41" width="10.34765625" bestFit="1" customWidth="1"/>
    <col min="42" max="42" width="12.25" bestFit="1" customWidth="1"/>
    <col min="43" max="43" width="3.796875" customWidth="1"/>
    <col min="44" max="44" width="10.34765625" bestFit="1" customWidth="1"/>
  </cols>
  <sheetData>
    <row r="1" spans="1:44" ht="28.5" x14ac:dyDescent="0.65">
      <c r="A1" s="1" t="s">
        <v>0</v>
      </c>
      <c r="B1" s="1" t="s">
        <v>1</v>
      </c>
      <c r="C1" s="1" t="s">
        <v>2</v>
      </c>
      <c r="D1" s="1" t="s">
        <v>3</v>
      </c>
      <c r="E1" s="1" t="s">
        <v>4</v>
      </c>
      <c r="F1" s="1" t="s">
        <v>5</v>
      </c>
      <c r="G1" s="1" t="s">
        <v>6</v>
      </c>
      <c r="H1" s="1" t="s">
        <v>7</v>
      </c>
      <c r="I1" s="1" t="s">
        <v>8</v>
      </c>
      <c r="J1" s="1" t="s">
        <v>9</v>
      </c>
      <c r="L1" s="1" t="s">
        <v>4</v>
      </c>
      <c r="M1" s="4" t="s">
        <v>0</v>
      </c>
      <c r="O1" s="1" t="s">
        <v>266</v>
      </c>
      <c r="P1" s="4" t="s">
        <v>18</v>
      </c>
      <c r="Q1" s="4" t="s">
        <v>11</v>
      </c>
      <c r="S1" s="1" t="s">
        <v>6</v>
      </c>
      <c r="T1" s="4" t="s">
        <v>9</v>
      </c>
      <c r="V1" s="1" t="s">
        <v>0</v>
      </c>
      <c r="W1" s="1" t="s">
        <v>1</v>
      </c>
      <c r="X1" s="1" t="s">
        <v>2</v>
      </c>
      <c r="Y1" s="1" t="s">
        <v>3</v>
      </c>
      <c r="Z1" s="1" t="s">
        <v>4</v>
      </c>
      <c r="AA1" s="1" t="s">
        <v>5</v>
      </c>
      <c r="AB1" s="1" t="s">
        <v>6</v>
      </c>
      <c r="AC1" s="1" t="s">
        <v>7</v>
      </c>
      <c r="AD1" s="1" t="s">
        <v>8</v>
      </c>
      <c r="AE1" s="1" t="s">
        <v>9</v>
      </c>
      <c r="AG1" s="1" t="s">
        <v>0</v>
      </c>
      <c r="AH1" s="1" t="s">
        <v>1</v>
      </c>
      <c r="AI1" s="1" t="s">
        <v>2</v>
      </c>
      <c r="AJ1" s="1" t="s">
        <v>3</v>
      </c>
      <c r="AK1" s="1" t="s">
        <v>4</v>
      </c>
      <c r="AL1" s="1" t="s">
        <v>5</v>
      </c>
      <c r="AM1" s="1" t="s">
        <v>6</v>
      </c>
      <c r="AN1" s="1" t="s">
        <v>7</v>
      </c>
      <c r="AO1" s="1" t="s">
        <v>8</v>
      </c>
      <c r="AP1" s="1" t="s">
        <v>9</v>
      </c>
      <c r="AR1" s="1" t="s">
        <v>6</v>
      </c>
    </row>
    <row r="2" spans="1:44" x14ac:dyDescent="0.6">
      <c r="A2" s="2" t="s">
        <v>267</v>
      </c>
      <c r="B2" s="2" t="s">
        <v>10</v>
      </c>
      <c r="C2" s="2">
        <v>25</v>
      </c>
      <c r="D2" s="2" t="s">
        <v>11</v>
      </c>
      <c r="E2" s="2" t="s">
        <v>12</v>
      </c>
      <c r="F2" s="2" t="s">
        <v>13</v>
      </c>
      <c r="G2" s="2" t="s">
        <v>14</v>
      </c>
      <c r="H2" s="2" t="s">
        <v>15</v>
      </c>
      <c r="I2" s="3">
        <v>46266</v>
      </c>
      <c r="J2" s="2">
        <v>5000</v>
      </c>
      <c r="L2" s="2" t="s">
        <v>12</v>
      </c>
      <c r="M2">
        <f>COUNTIF(E1:E126,L2)</f>
        <v>30</v>
      </c>
      <c r="O2" s="2" t="s">
        <v>12</v>
      </c>
      <c r="P2">
        <f>COUNTIFS($E$1:$E$126,$O2,$D$1:$D$126,P$1)</f>
        <v>8</v>
      </c>
      <c r="Q2">
        <f>COUNTIFS($E$1:$E$126,$O2,$D$1:$D$126,Q$1)</f>
        <v>22</v>
      </c>
      <c r="S2" s="2" t="s">
        <v>14</v>
      </c>
      <c r="T2">
        <f>SUMIF($G$1:$G$126,S2,$J$1:$J$126)</f>
        <v>407000</v>
      </c>
      <c r="V2" t="s">
        <v>37</v>
      </c>
      <c r="W2" t="str">
        <f>VLOOKUP($V$2,$A$1:$J$126,COLUMN()-21,0)</f>
        <v>Bilal</v>
      </c>
      <c r="X2">
        <f t="shared" ref="X2:AE2" si="0">VLOOKUP($V$2,$A$1:$J$126,COLUMN()-21,0)</f>
        <v>22</v>
      </c>
      <c r="Y2" t="str">
        <f t="shared" si="0"/>
        <v>Male</v>
      </c>
      <c r="Z2" t="str">
        <f t="shared" si="0"/>
        <v>Dermatology</v>
      </c>
      <c r="AA2" t="str">
        <f t="shared" si="0"/>
        <v>Dr Hina</v>
      </c>
      <c r="AB2" t="str">
        <f t="shared" si="0"/>
        <v>OPD</v>
      </c>
      <c r="AC2" t="str">
        <f t="shared" si="0"/>
        <v>Online</v>
      </c>
      <c r="AD2">
        <f t="shared" si="0"/>
        <v>46269</v>
      </c>
      <c r="AE2">
        <f t="shared" si="0"/>
        <v>3500</v>
      </c>
      <c r="AR2" s="2" t="s">
        <v>14</v>
      </c>
    </row>
    <row r="3" spans="1:44" x14ac:dyDescent="0.6">
      <c r="A3" s="2" t="s">
        <v>16</v>
      </c>
      <c r="B3" s="2" t="s">
        <v>17</v>
      </c>
      <c r="C3" s="2">
        <v>32</v>
      </c>
      <c r="D3" s="2" t="s">
        <v>18</v>
      </c>
      <c r="E3" s="2" t="s">
        <v>19</v>
      </c>
      <c r="F3" s="2" t="s">
        <v>20</v>
      </c>
      <c r="G3" s="2" t="s">
        <v>14</v>
      </c>
      <c r="H3" s="2" t="s">
        <v>21</v>
      </c>
      <c r="I3" s="3">
        <v>46266</v>
      </c>
      <c r="J3" s="2">
        <v>7500</v>
      </c>
      <c r="L3" s="2" t="s">
        <v>19</v>
      </c>
      <c r="M3">
        <f t="shared" ref="M3:M6" si="1">COUNTIF(E2:E127,L3)</f>
        <v>25</v>
      </c>
      <c r="O3" s="2" t="s">
        <v>19</v>
      </c>
      <c r="P3">
        <f t="shared" ref="P3:Q6" si="2">COUNTIFS($E$1:$E$126,$O3,$D$1:$D$126,P$1)</f>
        <v>12</v>
      </c>
      <c r="Q3">
        <f t="shared" si="2"/>
        <v>13</v>
      </c>
      <c r="S3" s="2" t="s">
        <v>26</v>
      </c>
      <c r="T3">
        <f t="shared" ref="T3:T4" si="3">SUMIF($G$1:$G$126,S3,$J$1:$J$126)</f>
        <v>290800</v>
      </c>
      <c r="AR3" s="2" t="s">
        <v>26</v>
      </c>
    </row>
    <row r="4" spans="1:44" x14ac:dyDescent="0.6">
      <c r="A4" s="2" t="s">
        <v>22</v>
      </c>
      <c r="B4" s="2" t="s">
        <v>23</v>
      </c>
      <c r="C4" s="2">
        <v>45</v>
      </c>
      <c r="D4" s="2" t="s">
        <v>11</v>
      </c>
      <c r="E4" s="2" t="s">
        <v>24</v>
      </c>
      <c r="F4" s="2" t="s">
        <v>25</v>
      </c>
      <c r="G4" s="2" t="s">
        <v>26</v>
      </c>
      <c r="H4" s="2" t="s">
        <v>15</v>
      </c>
      <c r="I4" s="3">
        <v>46267</v>
      </c>
      <c r="J4" s="2">
        <v>12000</v>
      </c>
      <c r="L4" s="2" t="s">
        <v>24</v>
      </c>
      <c r="M4">
        <f t="shared" si="1"/>
        <v>25</v>
      </c>
      <c r="O4" s="2" t="s">
        <v>24</v>
      </c>
      <c r="P4">
        <f t="shared" si="2"/>
        <v>6</v>
      </c>
      <c r="Q4">
        <f t="shared" si="2"/>
        <v>19</v>
      </c>
      <c r="S4" s="2" t="s">
        <v>34</v>
      </c>
      <c r="T4">
        <f t="shared" si="3"/>
        <v>439300</v>
      </c>
      <c r="AR4" s="2" t="s">
        <v>34</v>
      </c>
    </row>
    <row r="5" spans="1:44" x14ac:dyDescent="0.6">
      <c r="A5" s="2" t="s">
        <v>27</v>
      </c>
      <c r="B5" s="2" t="s">
        <v>28</v>
      </c>
      <c r="C5" s="2">
        <v>28</v>
      </c>
      <c r="D5" s="2" t="s">
        <v>18</v>
      </c>
      <c r="E5" s="2" t="s">
        <v>29</v>
      </c>
      <c r="F5" s="2" t="s">
        <v>30</v>
      </c>
      <c r="G5" s="2" t="s">
        <v>14</v>
      </c>
      <c r="H5" s="2" t="s">
        <v>31</v>
      </c>
      <c r="I5" s="3">
        <v>46267</v>
      </c>
      <c r="J5" s="2">
        <v>4000</v>
      </c>
      <c r="L5" s="2" t="s">
        <v>29</v>
      </c>
      <c r="M5">
        <f t="shared" si="1"/>
        <v>23</v>
      </c>
      <c r="O5" s="2" t="s">
        <v>29</v>
      </c>
      <c r="P5">
        <f t="shared" si="2"/>
        <v>22</v>
      </c>
      <c r="Q5">
        <f t="shared" si="2"/>
        <v>1</v>
      </c>
      <c r="T5">
        <f>SUM(T2:T4)</f>
        <v>1137100</v>
      </c>
    </row>
    <row r="6" spans="1:44" x14ac:dyDescent="0.6">
      <c r="A6" s="2" t="s">
        <v>32</v>
      </c>
      <c r="B6" s="2" t="s">
        <v>33</v>
      </c>
      <c r="C6" s="2">
        <v>51</v>
      </c>
      <c r="D6" s="2" t="s">
        <v>11</v>
      </c>
      <c r="E6" s="2" t="s">
        <v>12</v>
      </c>
      <c r="F6" s="2" t="s">
        <v>13</v>
      </c>
      <c r="G6" s="2" t="s">
        <v>34</v>
      </c>
      <c r="H6" s="2" t="s">
        <v>21</v>
      </c>
      <c r="I6" s="3">
        <v>46268</v>
      </c>
      <c r="J6" s="2">
        <v>18000</v>
      </c>
      <c r="L6" s="2" t="s">
        <v>39</v>
      </c>
      <c r="M6">
        <f t="shared" si="1"/>
        <v>22</v>
      </c>
      <c r="O6" s="2" t="s">
        <v>39</v>
      </c>
      <c r="P6">
        <f t="shared" si="2"/>
        <v>12</v>
      </c>
      <c r="Q6">
        <f t="shared" si="2"/>
        <v>10</v>
      </c>
    </row>
    <row r="7" spans="1:44" x14ac:dyDescent="0.6">
      <c r="A7" s="2" t="s">
        <v>35</v>
      </c>
      <c r="B7" s="2" t="s">
        <v>36</v>
      </c>
      <c r="C7" s="2">
        <v>36</v>
      </c>
      <c r="D7" s="2" t="s">
        <v>18</v>
      </c>
      <c r="E7" s="2" t="s">
        <v>19</v>
      </c>
      <c r="F7" s="2" t="s">
        <v>20</v>
      </c>
      <c r="G7" s="2" t="s">
        <v>14</v>
      </c>
      <c r="H7" s="2" t="s">
        <v>15</v>
      </c>
      <c r="I7" s="3">
        <v>46268</v>
      </c>
      <c r="J7" s="2">
        <v>6500</v>
      </c>
    </row>
    <row r="8" spans="1:44" x14ac:dyDescent="0.6">
      <c r="A8" s="2" t="s">
        <v>37</v>
      </c>
      <c r="B8" s="2" t="s">
        <v>38</v>
      </c>
      <c r="C8" s="2">
        <v>22</v>
      </c>
      <c r="D8" s="2" t="s">
        <v>11</v>
      </c>
      <c r="E8" s="2" t="s">
        <v>39</v>
      </c>
      <c r="F8" s="2" t="s">
        <v>40</v>
      </c>
      <c r="G8" s="2" t="s">
        <v>14</v>
      </c>
      <c r="H8" s="2" t="s">
        <v>31</v>
      </c>
      <c r="I8" s="3">
        <v>46269</v>
      </c>
      <c r="J8" s="2">
        <v>3500</v>
      </c>
    </row>
    <row r="9" spans="1:44" x14ac:dyDescent="0.6">
      <c r="A9" s="2" t="s">
        <v>41</v>
      </c>
      <c r="B9" s="2" t="s">
        <v>42</v>
      </c>
      <c r="C9" s="2">
        <v>41</v>
      </c>
      <c r="D9" s="2" t="s">
        <v>18</v>
      </c>
      <c r="E9" s="2" t="s">
        <v>24</v>
      </c>
      <c r="F9" s="2" t="s">
        <v>25</v>
      </c>
      <c r="G9" s="2" t="s">
        <v>26</v>
      </c>
      <c r="H9" s="2" t="s">
        <v>15</v>
      </c>
      <c r="I9" s="3">
        <v>46269</v>
      </c>
      <c r="J9" s="2">
        <v>11000</v>
      </c>
    </row>
    <row r="10" spans="1:44" x14ac:dyDescent="0.6">
      <c r="A10" s="2" t="s">
        <v>43</v>
      </c>
      <c r="B10" s="2" t="s">
        <v>44</v>
      </c>
      <c r="C10" s="2">
        <v>60</v>
      </c>
      <c r="D10" s="2" t="s">
        <v>11</v>
      </c>
      <c r="E10" s="2" t="s">
        <v>12</v>
      </c>
      <c r="F10" s="2" t="s">
        <v>13</v>
      </c>
      <c r="G10" s="2" t="s">
        <v>34</v>
      </c>
      <c r="H10" s="2" t="s">
        <v>21</v>
      </c>
      <c r="I10" s="3">
        <v>46270</v>
      </c>
      <c r="J10" s="2">
        <v>25000</v>
      </c>
    </row>
    <row r="11" spans="1:44" x14ac:dyDescent="0.6">
      <c r="A11" s="2" t="s">
        <v>45</v>
      </c>
      <c r="B11" s="2" t="s">
        <v>46</v>
      </c>
      <c r="C11" s="2">
        <v>30</v>
      </c>
      <c r="D11" s="2" t="s">
        <v>18</v>
      </c>
      <c r="E11" s="2" t="s">
        <v>29</v>
      </c>
      <c r="F11" s="2" t="s">
        <v>30</v>
      </c>
      <c r="G11" s="2" t="s">
        <v>14</v>
      </c>
      <c r="H11" s="2" t="s">
        <v>15</v>
      </c>
      <c r="I11" s="3">
        <v>46270</v>
      </c>
      <c r="J11" s="2">
        <v>4500</v>
      </c>
    </row>
    <row r="12" spans="1:44" x14ac:dyDescent="0.6">
      <c r="A12" s="2" t="s">
        <v>47</v>
      </c>
      <c r="B12" s="2" t="s">
        <v>48</v>
      </c>
      <c r="C12" s="2">
        <v>38</v>
      </c>
      <c r="D12" s="2" t="s">
        <v>11</v>
      </c>
      <c r="E12" s="2" t="s">
        <v>19</v>
      </c>
      <c r="F12" s="2" t="s">
        <v>20</v>
      </c>
      <c r="G12" s="2" t="s">
        <v>14</v>
      </c>
      <c r="H12" s="2" t="s">
        <v>31</v>
      </c>
      <c r="I12" s="3">
        <v>46271</v>
      </c>
      <c r="J12" s="2">
        <v>7000</v>
      </c>
    </row>
    <row r="13" spans="1:44" x14ac:dyDescent="0.6">
      <c r="A13" s="2" t="s">
        <v>49</v>
      </c>
      <c r="B13" s="2" t="s">
        <v>50</v>
      </c>
      <c r="C13" s="2">
        <v>26</v>
      </c>
      <c r="D13" s="2" t="s">
        <v>18</v>
      </c>
      <c r="E13" s="2" t="s">
        <v>39</v>
      </c>
      <c r="F13" s="2" t="s">
        <v>40</v>
      </c>
      <c r="G13" s="2" t="s">
        <v>14</v>
      </c>
      <c r="H13" s="2" t="s">
        <v>21</v>
      </c>
      <c r="I13" s="3">
        <v>46271</v>
      </c>
      <c r="J13" s="2">
        <v>3000</v>
      </c>
    </row>
    <row r="14" spans="1:44" x14ac:dyDescent="0.6">
      <c r="A14" s="2" t="s">
        <v>51</v>
      </c>
      <c r="B14" s="2" t="s">
        <v>52</v>
      </c>
      <c r="C14" s="2">
        <v>55</v>
      </c>
      <c r="D14" s="2" t="s">
        <v>11</v>
      </c>
      <c r="E14" s="2" t="s">
        <v>12</v>
      </c>
      <c r="F14" s="2" t="s">
        <v>13</v>
      </c>
      <c r="G14" s="2" t="s">
        <v>26</v>
      </c>
      <c r="H14" s="2" t="s">
        <v>15</v>
      </c>
      <c r="I14" s="3">
        <v>46272</v>
      </c>
      <c r="J14" s="2">
        <v>15000</v>
      </c>
    </row>
    <row r="15" spans="1:44" x14ac:dyDescent="0.6">
      <c r="A15" s="2" t="s">
        <v>53</v>
      </c>
      <c r="B15" s="2" t="s">
        <v>54</v>
      </c>
      <c r="C15" s="2">
        <v>19</v>
      </c>
      <c r="D15" s="2" t="s">
        <v>18</v>
      </c>
      <c r="E15" s="2" t="s">
        <v>29</v>
      </c>
      <c r="F15" s="2" t="s">
        <v>30</v>
      </c>
      <c r="G15" s="2" t="s">
        <v>14</v>
      </c>
      <c r="H15" s="2" t="s">
        <v>31</v>
      </c>
      <c r="I15" s="3">
        <v>46272</v>
      </c>
      <c r="J15" s="2">
        <v>2500</v>
      </c>
    </row>
    <row r="16" spans="1:44" x14ac:dyDescent="0.6">
      <c r="A16" s="2" t="s">
        <v>55</v>
      </c>
      <c r="B16" s="2" t="s">
        <v>56</v>
      </c>
      <c r="C16" s="2">
        <v>48</v>
      </c>
      <c r="D16" s="2" t="s">
        <v>11</v>
      </c>
      <c r="E16" s="2" t="s">
        <v>24</v>
      </c>
      <c r="F16" s="2" t="s">
        <v>25</v>
      </c>
      <c r="G16" s="2" t="s">
        <v>34</v>
      </c>
      <c r="H16" s="2" t="s">
        <v>21</v>
      </c>
      <c r="I16" s="3">
        <v>46273</v>
      </c>
      <c r="J16" s="2">
        <v>20000</v>
      </c>
    </row>
    <row r="17" spans="1:10" x14ac:dyDescent="0.6">
      <c r="A17" s="2" t="s">
        <v>57</v>
      </c>
      <c r="B17" s="2" t="s">
        <v>58</v>
      </c>
      <c r="C17" s="2">
        <v>34</v>
      </c>
      <c r="D17" s="2" t="s">
        <v>18</v>
      </c>
      <c r="E17" s="2" t="s">
        <v>19</v>
      </c>
      <c r="F17" s="2" t="s">
        <v>20</v>
      </c>
      <c r="G17" s="2" t="s">
        <v>14</v>
      </c>
      <c r="H17" s="2" t="s">
        <v>15</v>
      </c>
      <c r="I17" s="3">
        <v>46273</v>
      </c>
      <c r="J17" s="2">
        <v>6000</v>
      </c>
    </row>
    <row r="18" spans="1:10" x14ac:dyDescent="0.6">
      <c r="A18" s="2" t="s">
        <v>59</v>
      </c>
      <c r="B18" s="2" t="s">
        <v>60</v>
      </c>
      <c r="C18" s="2">
        <v>29</v>
      </c>
      <c r="D18" s="2" t="s">
        <v>11</v>
      </c>
      <c r="E18" s="2" t="s">
        <v>39</v>
      </c>
      <c r="F18" s="2" t="s">
        <v>40</v>
      </c>
      <c r="G18" s="2" t="s">
        <v>14</v>
      </c>
      <c r="H18" s="2" t="s">
        <v>31</v>
      </c>
      <c r="I18" s="3">
        <v>46274</v>
      </c>
      <c r="J18" s="2">
        <v>3200</v>
      </c>
    </row>
    <row r="19" spans="1:10" x14ac:dyDescent="0.6">
      <c r="A19" s="2" t="s">
        <v>61</v>
      </c>
      <c r="B19" s="2" t="s">
        <v>62</v>
      </c>
      <c r="C19" s="2">
        <v>43</v>
      </c>
      <c r="D19" s="2" t="s">
        <v>18</v>
      </c>
      <c r="E19" s="2" t="s">
        <v>12</v>
      </c>
      <c r="F19" s="2" t="s">
        <v>13</v>
      </c>
      <c r="G19" s="2" t="s">
        <v>26</v>
      </c>
      <c r="H19" s="2" t="s">
        <v>15</v>
      </c>
      <c r="I19" s="3">
        <v>46274</v>
      </c>
      <c r="J19" s="2">
        <v>13500</v>
      </c>
    </row>
    <row r="20" spans="1:10" x14ac:dyDescent="0.6">
      <c r="A20" s="2" t="s">
        <v>63</v>
      </c>
      <c r="B20" s="2" t="s">
        <v>64</v>
      </c>
      <c r="C20" s="2">
        <v>52</v>
      </c>
      <c r="D20" s="2" t="s">
        <v>11</v>
      </c>
      <c r="E20" s="2" t="s">
        <v>24</v>
      </c>
      <c r="F20" s="2" t="s">
        <v>25</v>
      </c>
      <c r="G20" s="2" t="s">
        <v>14</v>
      </c>
      <c r="H20" s="2" t="s">
        <v>21</v>
      </c>
      <c r="I20" s="3">
        <v>46275</v>
      </c>
      <c r="J20" s="2">
        <v>8500</v>
      </c>
    </row>
    <row r="21" spans="1:10" x14ac:dyDescent="0.6">
      <c r="A21" s="2" t="s">
        <v>65</v>
      </c>
      <c r="B21" s="2" t="s">
        <v>66</v>
      </c>
      <c r="C21" s="2">
        <v>24</v>
      </c>
      <c r="D21" s="2" t="s">
        <v>18</v>
      </c>
      <c r="E21" s="2" t="s">
        <v>29</v>
      </c>
      <c r="F21" s="2" t="s">
        <v>30</v>
      </c>
      <c r="G21" s="2" t="s">
        <v>14</v>
      </c>
      <c r="H21" s="2" t="s">
        <v>31</v>
      </c>
      <c r="I21" s="3">
        <v>46275</v>
      </c>
      <c r="J21" s="2">
        <v>2800</v>
      </c>
    </row>
    <row r="22" spans="1:10" x14ac:dyDescent="0.6">
      <c r="A22" s="2" t="s">
        <v>67</v>
      </c>
      <c r="B22" s="2" t="s">
        <v>68</v>
      </c>
      <c r="C22" s="2">
        <v>39</v>
      </c>
      <c r="D22" s="2" t="s">
        <v>11</v>
      </c>
      <c r="E22" s="2" t="s">
        <v>19</v>
      </c>
      <c r="F22" s="2" t="s">
        <v>20</v>
      </c>
      <c r="G22" s="2" t="s">
        <v>34</v>
      </c>
      <c r="H22" s="2" t="s">
        <v>15</v>
      </c>
      <c r="I22" s="3">
        <v>46276</v>
      </c>
      <c r="J22" s="2">
        <v>17000</v>
      </c>
    </row>
    <row r="23" spans="1:10" x14ac:dyDescent="0.6">
      <c r="A23" s="2" t="s">
        <v>69</v>
      </c>
      <c r="B23" s="2" t="s">
        <v>70</v>
      </c>
      <c r="C23" s="2">
        <v>31</v>
      </c>
      <c r="D23" s="2" t="s">
        <v>18</v>
      </c>
      <c r="E23" s="2" t="s">
        <v>39</v>
      </c>
      <c r="F23" s="2" t="s">
        <v>40</v>
      </c>
      <c r="G23" s="2" t="s">
        <v>14</v>
      </c>
      <c r="H23" s="2" t="s">
        <v>21</v>
      </c>
      <c r="I23" s="3">
        <v>46276</v>
      </c>
      <c r="J23" s="2">
        <v>4000</v>
      </c>
    </row>
    <row r="24" spans="1:10" x14ac:dyDescent="0.6">
      <c r="A24" s="2" t="s">
        <v>71</v>
      </c>
      <c r="B24" s="2" t="s">
        <v>72</v>
      </c>
      <c r="C24" s="2">
        <v>47</v>
      </c>
      <c r="D24" s="2" t="s">
        <v>11</v>
      </c>
      <c r="E24" s="2" t="s">
        <v>12</v>
      </c>
      <c r="F24" s="2" t="s">
        <v>13</v>
      </c>
      <c r="G24" s="2" t="s">
        <v>14</v>
      </c>
      <c r="H24" s="2" t="s">
        <v>15</v>
      </c>
      <c r="I24" s="3">
        <v>46277</v>
      </c>
      <c r="J24" s="2">
        <v>8000</v>
      </c>
    </row>
    <row r="25" spans="1:10" x14ac:dyDescent="0.6">
      <c r="A25" s="2" t="s">
        <v>73</v>
      </c>
      <c r="B25" s="2" t="s">
        <v>74</v>
      </c>
      <c r="C25" s="2">
        <v>27</v>
      </c>
      <c r="D25" s="2" t="s">
        <v>18</v>
      </c>
      <c r="E25" s="2" t="s">
        <v>29</v>
      </c>
      <c r="F25" s="2" t="s">
        <v>30</v>
      </c>
      <c r="G25" s="2" t="s">
        <v>14</v>
      </c>
      <c r="H25" s="2" t="s">
        <v>31</v>
      </c>
      <c r="I25" s="3">
        <v>46277</v>
      </c>
      <c r="J25" s="2">
        <v>3500</v>
      </c>
    </row>
    <row r="26" spans="1:10" x14ac:dyDescent="0.6">
      <c r="A26" s="2" t="s">
        <v>75</v>
      </c>
      <c r="B26" s="2" t="s">
        <v>76</v>
      </c>
      <c r="C26" s="2">
        <v>58</v>
      </c>
      <c r="D26" s="2" t="s">
        <v>11</v>
      </c>
      <c r="E26" s="2" t="s">
        <v>24</v>
      </c>
      <c r="F26" s="2" t="s">
        <v>25</v>
      </c>
      <c r="G26" s="2" t="s">
        <v>26</v>
      </c>
      <c r="H26" s="3" t="s">
        <v>15</v>
      </c>
      <c r="I26" s="3">
        <v>46278</v>
      </c>
      <c r="J26" s="2">
        <v>14000</v>
      </c>
    </row>
    <row r="27" spans="1:10" x14ac:dyDescent="0.6">
      <c r="A27" s="2" t="s">
        <v>77</v>
      </c>
      <c r="B27" s="2" t="s">
        <v>78</v>
      </c>
      <c r="C27" s="2">
        <v>33</v>
      </c>
      <c r="D27" s="2" t="s">
        <v>11</v>
      </c>
      <c r="E27" s="2" t="s">
        <v>12</v>
      </c>
      <c r="F27" s="2" t="s">
        <v>13</v>
      </c>
      <c r="G27" s="2" t="s">
        <v>14</v>
      </c>
      <c r="H27" s="2" t="s">
        <v>15</v>
      </c>
      <c r="I27" s="3">
        <v>46278</v>
      </c>
      <c r="J27" s="2">
        <v>5500</v>
      </c>
    </row>
    <row r="28" spans="1:10" x14ac:dyDescent="0.6">
      <c r="A28" s="2" t="s">
        <v>79</v>
      </c>
      <c r="B28" s="2" t="s">
        <v>80</v>
      </c>
      <c r="C28" s="2">
        <v>29</v>
      </c>
      <c r="D28" s="2" t="s">
        <v>18</v>
      </c>
      <c r="E28" s="2" t="s">
        <v>19</v>
      </c>
      <c r="F28" s="2" t="s">
        <v>20</v>
      </c>
      <c r="G28" s="2" t="s">
        <v>14</v>
      </c>
      <c r="H28" s="2" t="s">
        <v>21</v>
      </c>
      <c r="I28" s="3">
        <v>46278</v>
      </c>
      <c r="J28" s="2">
        <v>6800</v>
      </c>
    </row>
    <row r="29" spans="1:10" x14ac:dyDescent="0.6">
      <c r="A29" s="2" t="s">
        <v>81</v>
      </c>
      <c r="B29" s="2" t="s">
        <v>82</v>
      </c>
      <c r="C29" s="2">
        <v>46</v>
      </c>
      <c r="D29" s="2" t="s">
        <v>11</v>
      </c>
      <c r="E29" s="2" t="s">
        <v>24</v>
      </c>
      <c r="F29" s="2" t="s">
        <v>25</v>
      </c>
      <c r="G29" s="2" t="s">
        <v>26</v>
      </c>
      <c r="H29" s="2" t="s">
        <v>15</v>
      </c>
      <c r="I29" s="3">
        <v>46279</v>
      </c>
      <c r="J29" s="2">
        <v>12500</v>
      </c>
    </row>
    <row r="30" spans="1:10" x14ac:dyDescent="0.6">
      <c r="A30" s="2" t="s">
        <v>83</v>
      </c>
      <c r="B30" s="2" t="s">
        <v>84</v>
      </c>
      <c r="C30" s="2">
        <v>23</v>
      </c>
      <c r="D30" s="2" t="s">
        <v>18</v>
      </c>
      <c r="E30" s="2" t="s">
        <v>29</v>
      </c>
      <c r="F30" s="2" t="s">
        <v>30</v>
      </c>
      <c r="G30" s="2" t="s">
        <v>14</v>
      </c>
      <c r="H30" s="2" t="s">
        <v>31</v>
      </c>
      <c r="I30" s="3">
        <v>46279</v>
      </c>
      <c r="J30" s="2">
        <v>3200</v>
      </c>
    </row>
    <row r="31" spans="1:10" x14ac:dyDescent="0.6">
      <c r="A31" s="2" t="s">
        <v>85</v>
      </c>
      <c r="B31" s="2" t="s">
        <v>86</v>
      </c>
      <c r="C31" s="2">
        <v>54</v>
      </c>
      <c r="D31" s="2" t="s">
        <v>11</v>
      </c>
      <c r="E31" s="2" t="s">
        <v>12</v>
      </c>
      <c r="F31" s="2" t="s">
        <v>13</v>
      </c>
      <c r="G31" s="2" t="s">
        <v>34</v>
      </c>
      <c r="H31" s="2" t="s">
        <v>21</v>
      </c>
      <c r="I31" s="3">
        <v>46279</v>
      </c>
      <c r="J31" s="2">
        <v>19500</v>
      </c>
    </row>
    <row r="32" spans="1:10" x14ac:dyDescent="0.6">
      <c r="A32" s="2" t="s">
        <v>87</v>
      </c>
      <c r="B32" s="2" t="s">
        <v>88</v>
      </c>
      <c r="C32" s="2">
        <v>37</v>
      </c>
      <c r="D32" s="2" t="s">
        <v>18</v>
      </c>
      <c r="E32" s="2" t="s">
        <v>19</v>
      </c>
      <c r="F32" s="2" t="s">
        <v>20</v>
      </c>
      <c r="G32" s="2" t="s">
        <v>14</v>
      </c>
      <c r="H32" s="2" t="s">
        <v>15</v>
      </c>
      <c r="I32" s="3">
        <v>46280</v>
      </c>
      <c r="J32" s="2">
        <v>6200</v>
      </c>
    </row>
    <row r="33" spans="1:10" x14ac:dyDescent="0.6">
      <c r="A33" s="2" t="s">
        <v>89</v>
      </c>
      <c r="B33" s="2" t="s">
        <v>90</v>
      </c>
      <c r="C33" s="2">
        <v>21</v>
      </c>
      <c r="D33" s="2" t="s">
        <v>11</v>
      </c>
      <c r="E33" s="2" t="s">
        <v>39</v>
      </c>
      <c r="F33" s="2" t="s">
        <v>40</v>
      </c>
      <c r="G33" s="2" t="s">
        <v>14</v>
      </c>
      <c r="H33" s="2" t="s">
        <v>31</v>
      </c>
      <c r="I33" s="3">
        <v>46280</v>
      </c>
      <c r="J33" s="2">
        <v>2800</v>
      </c>
    </row>
    <row r="34" spans="1:10" x14ac:dyDescent="0.6">
      <c r="A34" s="2" t="s">
        <v>91</v>
      </c>
      <c r="B34" s="2" t="s">
        <v>92</v>
      </c>
      <c r="C34" s="2">
        <v>44</v>
      </c>
      <c r="D34" s="2" t="s">
        <v>18</v>
      </c>
      <c r="E34" s="2" t="s">
        <v>24</v>
      </c>
      <c r="F34" s="2" t="s">
        <v>25</v>
      </c>
      <c r="G34" s="2" t="s">
        <v>26</v>
      </c>
      <c r="H34" s="2" t="s">
        <v>15</v>
      </c>
      <c r="I34" s="3">
        <v>46280</v>
      </c>
      <c r="J34" s="2">
        <v>11500</v>
      </c>
    </row>
    <row r="35" spans="1:10" x14ac:dyDescent="0.6">
      <c r="A35" s="2" t="s">
        <v>93</v>
      </c>
      <c r="B35" s="2" t="s">
        <v>94</v>
      </c>
      <c r="C35" s="2">
        <v>62</v>
      </c>
      <c r="D35" s="2" t="s">
        <v>11</v>
      </c>
      <c r="E35" s="2" t="s">
        <v>12</v>
      </c>
      <c r="F35" s="2" t="s">
        <v>13</v>
      </c>
      <c r="G35" s="2" t="s">
        <v>34</v>
      </c>
      <c r="H35" s="2" t="s">
        <v>21</v>
      </c>
      <c r="I35" s="3">
        <v>46281</v>
      </c>
      <c r="J35" s="2">
        <v>27000</v>
      </c>
    </row>
    <row r="36" spans="1:10" x14ac:dyDescent="0.6">
      <c r="A36" s="2" t="s">
        <v>95</v>
      </c>
      <c r="B36" s="2" t="s">
        <v>96</v>
      </c>
      <c r="C36" s="2">
        <v>35</v>
      </c>
      <c r="D36" s="2" t="s">
        <v>18</v>
      </c>
      <c r="E36" s="2" t="s">
        <v>29</v>
      </c>
      <c r="F36" s="2" t="s">
        <v>30</v>
      </c>
      <c r="G36" s="2" t="s">
        <v>14</v>
      </c>
      <c r="H36" s="2" t="s">
        <v>15</v>
      </c>
      <c r="I36" s="3">
        <v>46281</v>
      </c>
      <c r="J36" s="2">
        <v>4200</v>
      </c>
    </row>
    <row r="37" spans="1:10" x14ac:dyDescent="0.6">
      <c r="A37" s="2" t="s">
        <v>97</v>
      </c>
      <c r="B37" s="2" t="s">
        <v>98</v>
      </c>
      <c r="C37" s="2">
        <v>40</v>
      </c>
      <c r="D37" s="2" t="s">
        <v>11</v>
      </c>
      <c r="E37" s="2" t="s">
        <v>19</v>
      </c>
      <c r="F37" s="2" t="s">
        <v>20</v>
      </c>
      <c r="G37" s="2" t="s">
        <v>14</v>
      </c>
      <c r="H37" s="2" t="s">
        <v>31</v>
      </c>
      <c r="I37" s="3">
        <v>46281</v>
      </c>
      <c r="J37" s="2">
        <v>7200</v>
      </c>
    </row>
    <row r="38" spans="1:10" x14ac:dyDescent="0.6">
      <c r="A38" s="2" t="s">
        <v>99</v>
      </c>
      <c r="B38" s="2" t="s">
        <v>100</v>
      </c>
      <c r="C38" s="2">
        <v>27</v>
      </c>
      <c r="D38" s="2" t="s">
        <v>18</v>
      </c>
      <c r="E38" s="2" t="s">
        <v>39</v>
      </c>
      <c r="F38" s="2" t="s">
        <v>40</v>
      </c>
      <c r="G38" s="2" t="s">
        <v>14</v>
      </c>
      <c r="H38" s="2" t="s">
        <v>21</v>
      </c>
      <c r="I38" s="3">
        <v>46282</v>
      </c>
      <c r="J38" s="2">
        <v>3300</v>
      </c>
    </row>
    <row r="39" spans="1:10" x14ac:dyDescent="0.6">
      <c r="A39" s="2" t="s">
        <v>101</v>
      </c>
      <c r="B39" s="2" t="s">
        <v>102</v>
      </c>
      <c r="C39" s="2">
        <v>57</v>
      </c>
      <c r="D39" s="2" t="s">
        <v>11</v>
      </c>
      <c r="E39" s="2" t="s">
        <v>12</v>
      </c>
      <c r="F39" s="2" t="s">
        <v>13</v>
      </c>
      <c r="G39" s="2" t="s">
        <v>26</v>
      </c>
      <c r="H39" s="2" t="s">
        <v>15</v>
      </c>
      <c r="I39" s="3">
        <v>46282</v>
      </c>
      <c r="J39" s="2">
        <v>16000</v>
      </c>
    </row>
    <row r="40" spans="1:10" x14ac:dyDescent="0.6">
      <c r="A40" s="2" t="s">
        <v>103</v>
      </c>
      <c r="B40" s="2" t="s">
        <v>104</v>
      </c>
      <c r="C40" s="2">
        <v>20</v>
      </c>
      <c r="D40" s="2" t="s">
        <v>18</v>
      </c>
      <c r="E40" s="2" t="s">
        <v>29</v>
      </c>
      <c r="F40" s="2" t="s">
        <v>30</v>
      </c>
      <c r="G40" s="2" t="s">
        <v>14</v>
      </c>
      <c r="H40" s="2" t="s">
        <v>31</v>
      </c>
      <c r="I40" s="3">
        <v>46282</v>
      </c>
      <c r="J40" s="2">
        <v>2600</v>
      </c>
    </row>
    <row r="41" spans="1:10" x14ac:dyDescent="0.6">
      <c r="A41" s="2" t="s">
        <v>105</v>
      </c>
      <c r="B41" s="2" t="s">
        <v>106</v>
      </c>
      <c r="C41" s="2">
        <v>49</v>
      </c>
      <c r="D41" s="2" t="s">
        <v>11</v>
      </c>
      <c r="E41" s="2" t="s">
        <v>24</v>
      </c>
      <c r="F41" s="2" t="s">
        <v>25</v>
      </c>
      <c r="G41" s="2" t="s">
        <v>34</v>
      </c>
      <c r="H41" s="2" t="s">
        <v>21</v>
      </c>
      <c r="I41" s="3">
        <v>46283</v>
      </c>
      <c r="J41" s="2">
        <v>21000</v>
      </c>
    </row>
    <row r="42" spans="1:10" x14ac:dyDescent="0.6">
      <c r="A42" s="2" t="s">
        <v>107</v>
      </c>
      <c r="B42" s="2" t="s">
        <v>108</v>
      </c>
      <c r="C42" s="2">
        <v>32</v>
      </c>
      <c r="D42" s="2" t="s">
        <v>18</v>
      </c>
      <c r="E42" s="2" t="s">
        <v>19</v>
      </c>
      <c r="F42" s="2" t="s">
        <v>20</v>
      </c>
      <c r="G42" s="2" t="s">
        <v>14</v>
      </c>
      <c r="H42" s="2" t="s">
        <v>15</v>
      </c>
      <c r="I42" s="3">
        <v>46283</v>
      </c>
      <c r="J42" s="2">
        <v>5800</v>
      </c>
    </row>
    <row r="43" spans="1:10" x14ac:dyDescent="0.6">
      <c r="A43" s="2" t="s">
        <v>109</v>
      </c>
      <c r="B43" s="2" t="s">
        <v>110</v>
      </c>
      <c r="C43" s="2">
        <v>30</v>
      </c>
      <c r="D43" s="2" t="s">
        <v>11</v>
      </c>
      <c r="E43" s="2" t="s">
        <v>39</v>
      </c>
      <c r="F43" s="2" t="s">
        <v>40</v>
      </c>
      <c r="G43" s="2" t="s">
        <v>14</v>
      </c>
      <c r="H43" s="2" t="s">
        <v>31</v>
      </c>
      <c r="I43" s="3">
        <v>46283</v>
      </c>
      <c r="J43" s="2">
        <v>3100</v>
      </c>
    </row>
    <row r="44" spans="1:10" x14ac:dyDescent="0.6">
      <c r="A44" s="2" t="s">
        <v>111</v>
      </c>
      <c r="B44" s="2" t="s">
        <v>112</v>
      </c>
      <c r="C44" s="2">
        <v>45</v>
      </c>
      <c r="D44" s="2" t="s">
        <v>18</v>
      </c>
      <c r="E44" s="2" t="s">
        <v>12</v>
      </c>
      <c r="F44" s="2" t="s">
        <v>13</v>
      </c>
      <c r="G44" s="2" t="s">
        <v>26</v>
      </c>
      <c r="H44" s="2" t="s">
        <v>15</v>
      </c>
      <c r="I44" s="3">
        <v>46284</v>
      </c>
      <c r="J44" s="2">
        <v>14500</v>
      </c>
    </row>
    <row r="45" spans="1:10" x14ac:dyDescent="0.6">
      <c r="A45" s="2" t="s">
        <v>113</v>
      </c>
      <c r="B45" s="2" t="s">
        <v>114</v>
      </c>
      <c r="C45" s="2">
        <v>53</v>
      </c>
      <c r="D45" s="2" t="s">
        <v>11</v>
      </c>
      <c r="E45" s="2" t="s">
        <v>24</v>
      </c>
      <c r="F45" s="2" t="s">
        <v>25</v>
      </c>
      <c r="G45" s="2" t="s">
        <v>14</v>
      </c>
      <c r="H45" s="2" t="s">
        <v>21</v>
      </c>
      <c r="I45" s="3">
        <v>46284</v>
      </c>
      <c r="J45" s="2">
        <v>9000</v>
      </c>
    </row>
    <row r="46" spans="1:10" x14ac:dyDescent="0.6">
      <c r="A46" s="2" t="s">
        <v>115</v>
      </c>
      <c r="B46" s="2" t="s">
        <v>116</v>
      </c>
      <c r="C46" s="2">
        <v>25</v>
      </c>
      <c r="D46" s="2" t="s">
        <v>18</v>
      </c>
      <c r="E46" s="2" t="s">
        <v>29</v>
      </c>
      <c r="F46" s="2" t="s">
        <v>30</v>
      </c>
      <c r="G46" s="2" t="s">
        <v>14</v>
      </c>
      <c r="H46" s="2" t="s">
        <v>31</v>
      </c>
      <c r="I46" s="3">
        <v>46284</v>
      </c>
      <c r="J46" s="2">
        <v>2900</v>
      </c>
    </row>
    <row r="47" spans="1:10" x14ac:dyDescent="0.6">
      <c r="A47" s="2" t="s">
        <v>117</v>
      </c>
      <c r="B47" s="2" t="s">
        <v>118</v>
      </c>
      <c r="C47" s="2">
        <v>42</v>
      </c>
      <c r="D47" s="2" t="s">
        <v>11</v>
      </c>
      <c r="E47" s="2" t="s">
        <v>19</v>
      </c>
      <c r="F47" s="2" t="s">
        <v>20</v>
      </c>
      <c r="G47" s="2" t="s">
        <v>34</v>
      </c>
      <c r="H47" s="2" t="s">
        <v>15</v>
      </c>
      <c r="I47" s="3">
        <v>46285</v>
      </c>
      <c r="J47" s="2">
        <v>17500</v>
      </c>
    </row>
    <row r="48" spans="1:10" x14ac:dyDescent="0.6">
      <c r="A48" s="2" t="s">
        <v>119</v>
      </c>
      <c r="B48" s="2" t="s">
        <v>120</v>
      </c>
      <c r="C48" s="2">
        <v>38</v>
      </c>
      <c r="D48" s="2" t="s">
        <v>18</v>
      </c>
      <c r="E48" s="2" t="s">
        <v>39</v>
      </c>
      <c r="F48" s="2" t="s">
        <v>40</v>
      </c>
      <c r="G48" s="2" t="s">
        <v>14</v>
      </c>
      <c r="H48" s="2" t="s">
        <v>21</v>
      </c>
      <c r="I48" s="3">
        <v>46285</v>
      </c>
      <c r="J48" s="2">
        <v>3700</v>
      </c>
    </row>
    <row r="49" spans="1:10" x14ac:dyDescent="0.6">
      <c r="A49" s="2" t="s">
        <v>121</v>
      </c>
      <c r="B49" s="2" t="s">
        <v>122</v>
      </c>
      <c r="C49" s="2">
        <v>35</v>
      </c>
      <c r="D49" s="2" t="s">
        <v>11</v>
      </c>
      <c r="E49" s="2" t="s">
        <v>12</v>
      </c>
      <c r="F49" s="2" t="s">
        <v>13</v>
      </c>
      <c r="G49" s="2" t="s">
        <v>14</v>
      </c>
      <c r="H49" s="2" t="s">
        <v>15</v>
      </c>
      <c r="I49" s="3">
        <v>46285</v>
      </c>
      <c r="J49" s="2">
        <v>7800</v>
      </c>
    </row>
    <row r="50" spans="1:10" x14ac:dyDescent="0.6">
      <c r="A50" s="2" t="s">
        <v>123</v>
      </c>
      <c r="B50" s="2" t="s">
        <v>124</v>
      </c>
      <c r="C50" s="2">
        <v>22</v>
      </c>
      <c r="D50" s="2" t="s">
        <v>18</v>
      </c>
      <c r="E50" s="2" t="s">
        <v>29</v>
      </c>
      <c r="F50" s="2" t="s">
        <v>30</v>
      </c>
      <c r="G50" s="2" t="s">
        <v>14</v>
      </c>
      <c r="H50" s="2" t="s">
        <v>31</v>
      </c>
      <c r="I50" s="3">
        <v>46286</v>
      </c>
      <c r="J50" s="2">
        <v>3100</v>
      </c>
    </row>
    <row r="51" spans="1:10" x14ac:dyDescent="0.6">
      <c r="A51" s="2" t="s">
        <v>125</v>
      </c>
      <c r="B51" s="2" t="s">
        <v>126</v>
      </c>
      <c r="C51" s="2">
        <v>59</v>
      </c>
      <c r="D51" s="2" t="s">
        <v>11</v>
      </c>
      <c r="E51" s="2" t="s">
        <v>24</v>
      </c>
      <c r="F51" s="2" t="s">
        <v>265</v>
      </c>
      <c r="G51" s="2" t="s">
        <v>26</v>
      </c>
      <c r="H51" s="3" t="s">
        <v>15</v>
      </c>
      <c r="I51" s="3">
        <v>46286</v>
      </c>
      <c r="J51" s="2">
        <v>13500</v>
      </c>
    </row>
    <row r="52" spans="1:10" x14ac:dyDescent="0.6">
      <c r="A52" s="2" t="s">
        <v>127</v>
      </c>
      <c r="B52" s="2" t="s">
        <v>128</v>
      </c>
      <c r="C52" s="2">
        <v>47</v>
      </c>
      <c r="D52" s="2" t="s">
        <v>11</v>
      </c>
      <c r="E52" s="2" t="s">
        <v>12</v>
      </c>
      <c r="F52" s="2" t="s">
        <v>13</v>
      </c>
      <c r="G52" s="2" t="s">
        <v>14</v>
      </c>
      <c r="H52" s="2" t="s">
        <v>21</v>
      </c>
      <c r="I52" s="3">
        <v>46286</v>
      </c>
      <c r="J52" s="2">
        <v>6500</v>
      </c>
    </row>
    <row r="53" spans="1:10" x14ac:dyDescent="0.6">
      <c r="A53" s="2" t="s">
        <v>129</v>
      </c>
      <c r="B53" s="2" t="s">
        <v>130</v>
      </c>
      <c r="C53" s="2">
        <v>28</v>
      </c>
      <c r="D53" s="2" t="s">
        <v>18</v>
      </c>
      <c r="E53" s="2" t="s">
        <v>19</v>
      </c>
      <c r="F53" s="2" t="s">
        <v>20</v>
      </c>
      <c r="G53" s="2" t="s">
        <v>14</v>
      </c>
      <c r="H53" s="2" t="s">
        <v>15</v>
      </c>
      <c r="I53" s="3">
        <v>46287</v>
      </c>
      <c r="J53" s="2">
        <v>5900</v>
      </c>
    </row>
    <row r="54" spans="1:10" x14ac:dyDescent="0.6">
      <c r="A54" s="2" t="s">
        <v>131</v>
      </c>
      <c r="B54" s="2" t="s">
        <v>132</v>
      </c>
      <c r="C54" s="2">
        <v>36</v>
      </c>
      <c r="D54" s="2" t="s">
        <v>11</v>
      </c>
      <c r="E54" s="2" t="s">
        <v>39</v>
      </c>
      <c r="F54" s="2" t="s">
        <v>40</v>
      </c>
      <c r="G54" s="2" t="s">
        <v>14</v>
      </c>
      <c r="H54" s="2" t="s">
        <v>31</v>
      </c>
      <c r="I54" s="3">
        <v>46287</v>
      </c>
      <c r="J54" s="2">
        <v>3400</v>
      </c>
    </row>
    <row r="55" spans="1:10" x14ac:dyDescent="0.6">
      <c r="A55" s="2" t="s">
        <v>133</v>
      </c>
      <c r="B55" s="2" t="s">
        <v>134</v>
      </c>
      <c r="C55" s="2">
        <v>50</v>
      </c>
      <c r="D55" s="2" t="s">
        <v>18</v>
      </c>
      <c r="E55" s="2" t="s">
        <v>24</v>
      </c>
      <c r="F55" s="2" t="s">
        <v>25</v>
      </c>
      <c r="G55" s="2" t="s">
        <v>34</v>
      </c>
      <c r="H55" s="2" t="s">
        <v>21</v>
      </c>
      <c r="I55" s="3">
        <v>46287</v>
      </c>
      <c r="J55" s="2">
        <v>22000</v>
      </c>
    </row>
    <row r="56" spans="1:10" x14ac:dyDescent="0.6">
      <c r="A56" s="2" t="s">
        <v>135</v>
      </c>
      <c r="B56" s="2" t="s">
        <v>136</v>
      </c>
      <c r="C56" s="2">
        <v>31</v>
      </c>
      <c r="D56" s="2" t="s">
        <v>11</v>
      </c>
      <c r="E56" s="2" t="s">
        <v>12</v>
      </c>
      <c r="F56" s="2" t="s">
        <v>13</v>
      </c>
      <c r="G56" s="2" t="s">
        <v>26</v>
      </c>
      <c r="H56" s="2" t="s">
        <v>15</v>
      </c>
      <c r="I56" s="3">
        <v>46288</v>
      </c>
      <c r="J56" s="2">
        <v>15500</v>
      </c>
    </row>
    <row r="57" spans="1:10" x14ac:dyDescent="0.6">
      <c r="A57" s="2" t="s">
        <v>137</v>
      </c>
      <c r="B57" s="2" t="s">
        <v>138</v>
      </c>
      <c r="C57" s="2">
        <v>24</v>
      </c>
      <c r="D57" s="2" t="s">
        <v>18</v>
      </c>
      <c r="E57" s="2" t="s">
        <v>29</v>
      </c>
      <c r="F57" s="2" t="s">
        <v>30</v>
      </c>
      <c r="G57" s="2" t="s">
        <v>14</v>
      </c>
      <c r="H57" s="2" t="s">
        <v>31</v>
      </c>
      <c r="I57" s="3">
        <v>46288</v>
      </c>
      <c r="J57" s="2">
        <v>2700</v>
      </c>
    </row>
    <row r="58" spans="1:10" x14ac:dyDescent="0.6">
      <c r="A58" s="2" t="s">
        <v>139</v>
      </c>
      <c r="B58" s="2" t="s">
        <v>140</v>
      </c>
      <c r="C58" s="2">
        <v>43</v>
      </c>
      <c r="D58" s="2" t="s">
        <v>11</v>
      </c>
      <c r="E58" s="2" t="s">
        <v>19</v>
      </c>
      <c r="F58" s="2" t="s">
        <v>20</v>
      </c>
      <c r="G58" s="2" t="s">
        <v>14</v>
      </c>
      <c r="H58" s="2" t="s">
        <v>15</v>
      </c>
      <c r="I58" s="3">
        <v>46288</v>
      </c>
      <c r="J58" s="2">
        <v>7100</v>
      </c>
    </row>
    <row r="59" spans="1:10" x14ac:dyDescent="0.6">
      <c r="A59" s="2" t="s">
        <v>141</v>
      </c>
      <c r="B59" s="2" t="s">
        <v>142</v>
      </c>
      <c r="C59" s="2">
        <v>39</v>
      </c>
      <c r="D59" s="2" t="s">
        <v>18</v>
      </c>
      <c r="E59" s="2" t="s">
        <v>39</v>
      </c>
      <c r="F59" s="2" t="s">
        <v>40</v>
      </c>
      <c r="G59" s="2" t="s">
        <v>14</v>
      </c>
      <c r="H59" s="2" t="s">
        <v>21</v>
      </c>
      <c r="I59" s="3">
        <v>46289</v>
      </c>
      <c r="J59" s="2">
        <v>3900</v>
      </c>
    </row>
    <row r="60" spans="1:10" x14ac:dyDescent="0.6">
      <c r="A60" s="2" t="s">
        <v>143</v>
      </c>
      <c r="B60" s="2" t="s">
        <v>144</v>
      </c>
      <c r="C60" s="2">
        <v>56</v>
      </c>
      <c r="D60" s="2" t="s">
        <v>11</v>
      </c>
      <c r="E60" s="2" t="s">
        <v>24</v>
      </c>
      <c r="F60" s="2" t="s">
        <v>25</v>
      </c>
      <c r="G60" s="2" t="s">
        <v>34</v>
      </c>
      <c r="H60" s="2" t="s">
        <v>15</v>
      </c>
      <c r="I60" s="3">
        <v>46289</v>
      </c>
      <c r="J60" s="2">
        <v>18500</v>
      </c>
    </row>
    <row r="61" spans="1:10" x14ac:dyDescent="0.6">
      <c r="A61" s="2" t="s">
        <v>145</v>
      </c>
      <c r="B61" s="2" t="s">
        <v>146</v>
      </c>
      <c r="C61" s="2">
        <v>26</v>
      </c>
      <c r="D61" s="2" t="s">
        <v>18</v>
      </c>
      <c r="E61" s="2" t="s">
        <v>12</v>
      </c>
      <c r="F61" s="2" t="s">
        <v>13</v>
      </c>
      <c r="G61" s="2" t="s">
        <v>14</v>
      </c>
      <c r="H61" s="2" t="s">
        <v>31</v>
      </c>
      <c r="I61" s="3">
        <v>46289</v>
      </c>
      <c r="J61" s="2">
        <v>5100</v>
      </c>
    </row>
    <row r="62" spans="1:10" x14ac:dyDescent="0.6">
      <c r="A62" s="2" t="s">
        <v>147</v>
      </c>
      <c r="B62" s="2" t="s">
        <v>148</v>
      </c>
      <c r="C62" s="2">
        <v>48</v>
      </c>
      <c r="D62" s="2" t="s">
        <v>11</v>
      </c>
      <c r="E62" s="2" t="s">
        <v>19</v>
      </c>
      <c r="F62" s="2" t="s">
        <v>20</v>
      </c>
      <c r="G62" s="2" t="s">
        <v>26</v>
      </c>
      <c r="H62" s="2" t="s">
        <v>15</v>
      </c>
      <c r="I62" s="3">
        <v>46290</v>
      </c>
      <c r="J62" s="2">
        <v>13000</v>
      </c>
    </row>
    <row r="63" spans="1:10" x14ac:dyDescent="0.6">
      <c r="A63" s="2" t="s">
        <v>149</v>
      </c>
      <c r="B63" s="2" t="s">
        <v>150</v>
      </c>
      <c r="C63" s="2">
        <v>33</v>
      </c>
      <c r="D63" s="2" t="s">
        <v>18</v>
      </c>
      <c r="E63" s="2" t="s">
        <v>29</v>
      </c>
      <c r="F63" s="2" t="s">
        <v>30</v>
      </c>
      <c r="G63" s="2" t="s">
        <v>14</v>
      </c>
      <c r="H63" s="2" t="s">
        <v>21</v>
      </c>
      <c r="I63" s="3">
        <v>46290</v>
      </c>
      <c r="J63" s="2">
        <v>3600</v>
      </c>
    </row>
    <row r="64" spans="1:10" x14ac:dyDescent="0.6">
      <c r="A64" s="2" t="s">
        <v>151</v>
      </c>
      <c r="B64" s="2" t="s">
        <v>48</v>
      </c>
      <c r="C64" s="2">
        <v>29</v>
      </c>
      <c r="D64" s="2" t="s">
        <v>11</v>
      </c>
      <c r="E64" s="2" t="s">
        <v>39</v>
      </c>
      <c r="F64" s="2" t="s">
        <v>40</v>
      </c>
      <c r="G64" s="2" t="s">
        <v>14</v>
      </c>
      <c r="H64" s="2" t="s">
        <v>31</v>
      </c>
      <c r="I64" s="3">
        <v>46290</v>
      </c>
      <c r="J64" s="2">
        <v>2900</v>
      </c>
    </row>
    <row r="65" spans="1:10" x14ac:dyDescent="0.6">
      <c r="A65" s="2" t="s">
        <v>152</v>
      </c>
      <c r="B65" s="2" t="s">
        <v>153</v>
      </c>
      <c r="C65" s="2">
        <v>52</v>
      </c>
      <c r="D65" s="2" t="s">
        <v>11</v>
      </c>
      <c r="E65" s="2" t="s">
        <v>12</v>
      </c>
      <c r="F65" s="2" t="s">
        <v>13</v>
      </c>
      <c r="G65" s="2" t="s">
        <v>34</v>
      </c>
      <c r="H65" s="2" t="s">
        <v>21</v>
      </c>
      <c r="I65" s="3">
        <v>46291</v>
      </c>
      <c r="J65" s="2">
        <v>23000</v>
      </c>
    </row>
    <row r="66" spans="1:10" x14ac:dyDescent="0.6">
      <c r="A66" s="2" t="s">
        <v>154</v>
      </c>
      <c r="B66" s="2" t="s">
        <v>155</v>
      </c>
      <c r="C66" s="2">
        <v>30</v>
      </c>
      <c r="D66" s="2" t="s">
        <v>18</v>
      </c>
      <c r="E66" s="2" t="s">
        <v>24</v>
      </c>
      <c r="F66" s="2" t="s">
        <v>25</v>
      </c>
      <c r="G66" s="2" t="s">
        <v>14</v>
      </c>
      <c r="H66" s="2" t="s">
        <v>15</v>
      </c>
      <c r="I66" s="3">
        <v>46291</v>
      </c>
      <c r="J66" s="2">
        <v>7600</v>
      </c>
    </row>
    <row r="67" spans="1:10" x14ac:dyDescent="0.6">
      <c r="A67" s="2" t="s">
        <v>156</v>
      </c>
      <c r="B67" s="2" t="s">
        <v>157</v>
      </c>
      <c r="C67" s="2">
        <v>41</v>
      </c>
      <c r="D67" s="2" t="s">
        <v>11</v>
      </c>
      <c r="E67" s="2" t="s">
        <v>19</v>
      </c>
      <c r="F67" s="2" t="s">
        <v>20</v>
      </c>
      <c r="G67" s="2" t="s">
        <v>14</v>
      </c>
      <c r="H67" s="2" t="s">
        <v>31</v>
      </c>
      <c r="I67" s="3">
        <v>46291</v>
      </c>
      <c r="J67" s="2">
        <v>6900</v>
      </c>
    </row>
    <row r="68" spans="1:10" x14ac:dyDescent="0.6">
      <c r="A68" s="2" t="s">
        <v>158</v>
      </c>
      <c r="B68" s="2" t="s">
        <v>159</v>
      </c>
      <c r="C68" s="2">
        <v>23</v>
      </c>
      <c r="D68" s="2" t="s">
        <v>18</v>
      </c>
      <c r="E68" s="2" t="s">
        <v>39</v>
      </c>
      <c r="F68" s="2" t="s">
        <v>40</v>
      </c>
      <c r="G68" s="2" t="s">
        <v>14</v>
      </c>
      <c r="H68" s="2" t="s">
        <v>21</v>
      </c>
      <c r="I68" s="3">
        <v>46292</v>
      </c>
      <c r="J68" s="2">
        <v>3500</v>
      </c>
    </row>
    <row r="69" spans="1:10" x14ac:dyDescent="0.6">
      <c r="A69" s="2" t="s">
        <v>160</v>
      </c>
      <c r="B69" s="2" t="s">
        <v>161</v>
      </c>
      <c r="C69" s="2">
        <v>55</v>
      </c>
      <c r="D69" s="2" t="s">
        <v>11</v>
      </c>
      <c r="E69" s="2" t="s">
        <v>12</v>
      </c>
      <c r="F69" s="2" t="s">
        <v>13</v>
      </c>
      <c r="G69" s="2" t="s">
        <v>26</v>
      </c>
      <c r="H69" s="2" t="s">
        <v>15</v>
      </c>
      <c r="I69" s="3">
        <v>46292</v>
      </c>
      <c r="J69" s="2">
        <v>14800</v>
      </c>
    </row>
    <row r="70" spans="1:10" x14ac:dyDescent="0.6">
      <c r="A70" s="2" t="s">
        <v>162</v>
      </c>
      <c r="B70" s="2" t="s">
        <v>163</v>
      </c>
      <c r="C70" s="2">
        <v>27</v>
      </c>
      <c r="D70" s="2" t="s">
        <v>18</v>
      </c>
      <c r="E70" s="2" t="s">
        <v>29</v>
      </c>
      <c r="F70" s="2" t="s">
        <v>30</v>
      </c>
      <c r="G70" s="2" t="s">
        <v>14</v>
      </c>
      <c r="H70" s="2" t="s">
        <v>31</v>
      </c>
      <c r="I70" s="3">
        <v>46292</v>
      </c>
      <c r="J70" s="2">
        <v>3000</v>
      </c>
    </row>
    <row r="71" spans="1:10" x14ac:dyDescent="0.6">
      <c r="A71" s="2" t="s">
        <v>164</v>
      </c>
      <c r="B71" s="2" t="s">
        <v>165</v>
      </c>
      <c r="C71" s="2">
        <v>45</v>
      </c>
      <c r="D71" s="2" t="s">
        <v>11</v>
      </c>
      <c r="E71" s="2" t="s">
        <v>24</v>
      </c>
      <c r="F71" s="2" t="s">
        <v>25</v>
      </c>
      <c r="G71" s="2" t="s">
        <v>34</v>
      </c>
      <c r="H71" s="2" t="s">
        <v>21</v>
      </c>
      <c r="I71" s="3">
        <v>46293</v>
      </c>
      <c r="J71" s="2">
        <v>20500</v>
      </c>
    </row>
    <row r="72" spans="1:10" x14ac:dyDescent="0.6">
      <c r="A72" s="2" t="s">
        <v>166</v>
      </c>
      <c r="B72" s="2" t="s">
        <v>167</v>
      </c>
      <c r="C72" s="2">
        <v>36</v>
      </c>
      <c r="D72" s="2" t="s">
        <v>18</v>
      </c>
      <c r="E72" s="2" t="s">
        <v>19</v>
      </c>
      <c r="F72" s="2" t="s">
        <v>20</v>
      </c>
      <c r="G72" s="2" t="s">
        <v>14</v>
      </c>
      <c r="H72" s="2" t="s">
        <v>15</v>
      </c>
      <c r="I72" s="3">
        <v>46293</v>
      </c>
      <c r="J72" s="2">
        <v>6400</v>
      </c>
    </row>
    <row r="73" spans="1:10" x14ac:dyDescent="0.6">
      <c r="A73" s="2" t="s">
        <v>168</v>
      </c>
      <c r="B73" s="2" t="s">
        <v>169</v>
      </c>
      <c r="C73" s="2">
        <v>34</v>
      </c>
      <c r="D73" s="2" t="s">
        <v>11</v>
      </c>
      <c r="E73" s="2" t="s">
        <v>39</v>
      </c>
      <c r="F73" s="2" t="s">
        <v>40</v>
      </c>
      <c r="G73" s="2" t="s">
        <v>14</v>
      </c>
      <c r="H73" s="2" t="s">
        <v>31</v>
      </c>
      <c r="I73" s="3">
        <v>46293</v>
      </c>
      <c r="J73" s="2">
        <v>3600</v>
      </c>
    </row>
    <row r="74" spans="1:10" x14ac:dyDescent="0.6">
      <c r="A74" s="2" t="s">
        <v>170</v>
      </c>
      <c r="B74" s="2" t="s">
        <v>171</v>
      </c>
      <c r="C74" s="2">
        <v>49</v>
      </c>
      <c r="D74" s="2" t="s">
        <v>18</v>
      </c>
      <c r="E74" s="2" t="s">
        <v>12</v>
      </c>
      <c r="F74" s="2" t="s">
        <v>13</v>
      </c>
      <c r="G74" s="2" t="s">
        <v>26</v>
      </c>
      <c r="H74" s="2" t="s">
        <v>15</v>
      </c>
      <c r="I74" s="3">
        <v>46294</v>
      </c>
      <c r="J74" s="2">
        <v>14200</v>
      </c>
    </row>
    <row r="75" spans="1:10" x14ac:dyDescent="0.6">
      <c r="A75" s="2" t="s">
        <v>172</v>
      </c>
      <c r="B75" s="2" t="s">
        <v>173</v>
      </c>
      <c r="C75" s="2">
        <v>39</v>
      </c>
      <c r="D75" s="2" t="s">
        <v>11</v>
      </c>
      <c r="E75" s="2" t="s">
        <v>24</v>
      </c>
      <c r="F75" s="2" t="s">
        <v>25</v>
      </c>
      <c r="G75" s="2" t="s">
        <v>14</v>
      </c>
      <c r="H75" s="2" t="s">
        <v>21</v>
      </c>
      <c r="I75" s="3">
        <v>46294</v>
      </c>
      <c r="J75" s="2">
        <v>8200</v>
      </c>
    </row>
    <row r="76" spans="1:10" x14ac:dyDescent="0.6">
      <c r="A76" s="2" t="s">
        <v>174</v>
      </c>
      <c r="B76" s="2" t="s">
        <v>175</v>
      </c>
      <c r="C76" s="2">
        <v>21</v>
      </c>
      <c r="D76" s="2" t="s">
        <v>18</v>
      </c>
      <c r="E76" s="2" t="s">
        <v>29</v>
      </c>
      <c r="F76" s="2" t="s">
        <v>30</v>
      </c>
      <c r="G76" s="2" t="s">
        <v>14</v>
      </c>
      <c r="H76" s="2" t="s">
        <v>31</v>
      </c>
      <c r="I76" s="3">
        <v>46294</v>
      </c>
      <c r="J76" s="2">
        <v>2400</v>
      </c>
    </row>
    <row r="77" spans="1:10" x14ac:dyDescent="0.6">
      <c r="A77" s="2" t="s">
        <v>176</v>
      </c>
      <c r="B77" s="2" t="s">
        <v>177</v>
      </c>
      <c r="C77" s="2">
        <v>58</v>
      </c>
      <c r="D77" s="2" t="s">
        <v>11</v>
      </c>
      <c r="E77" s="2" t="s">
        <v>19</v>
      </c>
      <c r="F77" s="2" t="s">
        <v>20</v>
      </c>
      <c r="G77" s="2" t="s">
        <v>34</v>
      </c>
      <c r="H77" s="2" t="s">
        <v>15</v>
      </c>
      <c r="I77" s="3">
        <v>46295</v>
      </c>
      <c r="J77" s="2">
        <v>19000</v>
      </c>
    </row>
    <row r="78" spans="1:10" x14ac:dyDescent="0.6">
      <c r="A78" s="2" t="s">
        <v>178</v>
      </c>
      <c r="B78" s="2" t="s">
        <v>179</v>
      </c>
      <c r="C78" s="2">
        <v>31</v>
      </c>
      <c r="D78" s="2" t="s">
        <v>18</v>
      </c>
      <c r="E78" s="2" t="s">
        <v>39</v>
      </c>
      <c r="F78" s="2" t="s">
        <v>40</v>
      </c>
      <c r="G78" s="2" t="s">
        <v>14</v>
      </c>
      <c r="H78" s="2" t="s">
        <v>21</v>
      </c>
      <c r="I78" s="3">
        <v>46295</v>
      </c>
      <c r="J78" s="2">
        <v>4100</v>
      </c>
    </row>
    <row r="79" spans="1:10" x14ac:dyDescent="0.6">
      <c r="A79" s="2" t="s">
        <v>180</v>
      </c>
      <c r="B79" s="2" t="s">
        <v>181</v>
      </c>
      <c r="C79" s="2">
        <v>44</v>
      </c>
      <c r="D79" s="2" t="s">
        <v>11</v>
      </c>
      <c r="E79" s="2" t="s">
        <v>12</v>
      </c>
      <c r="F79" s="2" t="s">
        <v>13</v>
      </c>
      <c r="G79" s="2" t="s">
        <v>14</v>
      </c>
      <c r="H79" s="2" t="s">
        <v>15</v>
      </c>
      <c r="I79" s="3">
        <v>46295</v>
      </c>
      <c r="J79" s="2">
        <v>8500</v>
      </c>
    </row>
    <row r="80" spans="1:10" x14ac:dyDescent="0.6">
      <c r="A80" s="2" t="s">
        <v>182</v>
      </c>
      <c r="B80" s="2" t="s">
        <v>183</v>
      </c>
      <c r="C80" s="2">
        <v>26</v>
      </c>
      <c r="D80" s="2" t="s">
        <v>18</v>
      </c>
      <c r="E80" s="2" t="s">
        <v>29</v>
      </c>
      <c r="F80" s="2" t="s">
        <v>30</v>
      </c>
      <c r="G80" s="2" t="s">
        <v>14</v>
      </c>
      <c r="H80" s="2" t="s">
        <v>31</v>
      </c>
      <c r="I80" s="3">
        <v>46296</v>
      </c>
      <c r="J80" s="2">
        <v>2800</v>
      </c>
    </row>
    <row r="81" spans="1:10" x14ac:dyDescent="0.6">
      <c r="A81" s="2" t="s">
        <v>184</v>
      </c>
      <c r="B81" s="2" t="s">
        <v>185</v>
      </c>
      <c r="C81" s="2">
        <v>61</v>
      </c>
      <c r="D81" s="2" t="s">
        <v>11</v>
      </c>
      <c r="E81" s="2" t="s">
        <v>24</v>
      </c>
      <c r="F81" s="2" t="s">
        <v>25</v>
      </c>
      <c r="G81" s="2" t="s">
        <v>26</v>
      </c>
      <c r="H81" s="3" t="s">
        <v>15</v>
      </c>
      <c r="I81" s="3">
        <v>46296</v>
      </c>
      <c r="J81" s="2">
        <v>15000</v>
      </c>
    </row>
    <row r="82" spans="1:10" x14ac:dyDescent="0.6">
      <c r="A82" s="2" t="s">
        <v>186</v>
      </c>
      <c r="B82" s="2" t="s">
        <v>187</v>
      </c>
      <c r="C82" s="2">
        <v>40</v>
      </c>
      <c r="D82" s="2" t="s">
        <v>18</v>
      </c>
      <c r="E82" s="2" t="s">
        <v>12</v>
      </c>
      <c r="F82" s="2" t="s">
        <v>13</v>
      </c>
      <c r="G82" s="2" t="s">
        <v>14</v>
      </c>
      <c r="H82" s="2" t="s">
        <v>21</v>
      </c>
      <c r="I82" s="3">
        <v>46296</v>
      </c>
      <c r="J82" s="2">
        <v>7300</v>
      </c>
    </row>
    <row r="83" spans="1:10" x14ac:dyDescent="0.6">
      <c r="A83" s="2" t="s">
        <v>188</v>
      </c>
      <c r="B83" s="2" t="s">
        <v>189</v>
      </c>
      <c r="C83" s="2">
        <v>28</v>
      </c>
      <c r="D83" s="2" t="s">
        <v>11</v>
      </c>
      <c r="E83" s="2" t="s">
        <v>19</v>
      </c>
      <c r="F83" s="2" t="s">
        <v>20</v>
      </c>
      <c r="G83" s="2" t="s">
        <v>14</v>
      </c>
      <c r="H83" s="2" t="s">
        <v>15</v>
      </c>
      <c r="I83" s="3">
        <v>46297</v>
      </c>
      <c r="J83" s="2">
        <v>6100</v>
      </c>
    </row>
    <row r="84" spans="1:10" x14ac:dyDescent="0.6">
      <c r="A84" s="2" t="s">
        <v>190</v>
      </c>
      <c r="B84" s="2" t="s">
        <v>42</v>
      </c>
      <c r="C84" s="2">
        <v>34</v>
      </c>
      <c r="D84" s="2" t="s">
        <v>18</v>
      </c>
      <c r="E84" s="2" t="s">
        <v>39</v>
      </c>
      <c r="F84" s="2" t="s">
        <v>40</v>
      </c>
      <c r="G84" s="2" t="s">
        <v>14</v>
      </c>
      <c r="H84" s="2" t="s">
        <v>31</v>
      </c>
      <c r="I84" s="3">
        <v>46297</v>
      </c>
      <c r="J84" s="2">
        <v>3200</v>
      </c>
    </row>
    <row r="85" spans="1:10" x14ac:dyDescent="0.6">
      <c r="A85" s="2" t="s">
        <v>191</v>
      </c>
      <c r="B85" s="2" t="s">
        <v>192</v>
      </c>
      <c r="C85" s="2">
        <v>51</v>
      </c>
      <c r="D85" s="2" t="s">
        <v>11</v>
      </c>
      <c r="E85" s="2" t="s">
        <v>24</v>
      </c>
      <c r="F85" s="2" t="s">
        <v>25</v>
      </c>
      <c r="G85" s="2" t="s">
        <v>34</v>
      </c>
      <c r="H85" s="2" t="s">
        <v>21</v>
      </c>
      <c r="I85" s="3">
        <v>46297</v>
      </c>
      <c r="J85" s="2">
        <v>21500</v>
      </c>
    </row>
    <row r="86" spans="1:10" x14ac:dyDescent="0.6">
      <c r="A86" s="2" t="s">
        <v>193</v>
      </c>
      <c r="B86" s="2" t="s">
        <v>194</v>
      </c>
      <c r="C86" s="2">
        <v>29</v>
      </c>
      <c r="D86" s="2" t="s">
        <v>18</v>
      </c>
      <c r="E86" s="2" t="s">
        <v>29</v>
      </c>
      <c r="F86" s="2" t="s">
        <v>30</v>
      </c>
      <c r="G86" s="2" t="s">
        <v>14</v>
      </c>
      <c r="H86" s="2" t="s">
        <v>15</v>
      </c>
      <c r="I86" s="3">
        <v>46298</v>
      </c>
      <c r="J86" s="2">
        <v>3900</v>
      </c>
    </row>
    <row r="87" spans="1:10" x14ac:dyDescent="0.6">
      <c r="A87" s="2" t="s">
        <v>195</v>
      </c>
      <c r="B87" s="2" t="s">
        <v>196</v>
      </c>
      <c r="C87" s="2">
        <v>46</v>
      </c>
      <c r="D87" s="2" t="s">
        <v>11</v>
      </c>
      <c r="E87" s="2" t="s">
        <v>12</v>
      </c>
      <c r="F87" s="2" t="s">
        <v>13</v>
      </c>
      <c r="G87" s="2" t="s">
        <v>26</v>
      </c>
      <c r="H87" s="2" t="s">
        <v>15</v>
      </c>
      <c r="I87" s="3">
        <v>46298</v>
      </c>
      <c r="J87" s="2">
        <v>15200</v>
      </c>
    </row>
    <row r="88" spans="1:10" x14ac:dyDescent="0.6">
      <c r="A88" s="2" t="s">
        <v>197</v>
      </c>
      <c r="B88" s="2" t="s">
        <v>198</v>
      </c>
      <c r="C88" s="2">
        <v>37</v>
      </c>
      <c r="D88" s="2" t="s">
        <v>18</v>
      </c>
      <c r="E88" s="2" t="s">
        <v>19</v>
      </c>
      <c r="F88" s="2" t="s">
        <v>20</v>
      </c>
      <c r="G88" s="2" t="s">
        <v>14</v>
      </c>
      <c r="H88" s="2" t="s">
        <v>31</v>
      </c>
      <c r="I88" s="3">
        <v>46298</v>
      </c>
      <c r="J88" s="2">
        <v>6700</v>
      </c>
    </row>
    <row r="89" spans="1:10" x14ac:dyDescent="0.6">
      <c r="A89" s="2" t="s">
        <v>199</v>
      </c>
      <c r="B89" s="2" t="s">
        <v>200</v>
      </c>
      <c r="C89" s="2">
        <v>32</v>
      </c>
      <c r="D89" s="2" t="s">
        <v>11</v>
      </c>
      <c r="E89" s="2" t="s">
        <v>39</v>
      </c>
      <c r="F89" s="2" t="s">
        <v>40</v>
      </c>
      <c r="G89" s="2" t="s">
        <v>14</v>
      </c>
      <c r="H89" s="2" t="s">
        <v>21</v>
      </c>
      <c r="I89" s="3">
        <v>46299</v>
      </c>
      <c r="J89" s="2">
        <v>3000</v>
      </c>
    </row>
    <row r="90" spans="1:10" x14ac:dyDescent="0.6">
      <c r="A90" s="2" t="s">
        <v>201</v>
      </c>
      <c r="B90" s="2" t="s">
        <v>202</v>
      </c>
      <c r="C90" s="2">
        <v>43</v>
      </c>
      <c r="D90" s="2" t="s">
        <v>18</v>
      </c>
      <c r="E90" s="2" t="s">
        <v>24</v>
      </c>
      <c r="F90" s="2" t="s">
        <v>25</v>
      </c>
      <c r="G90" s="2" t="s">
        <v>34</v>
      </c>
      <c r="H90" s="2" t="s">
        <v>15</v>
      </c>
      <c r="I90" s="3">
        <v>46299</v>
      </c>
      <c r="J90" s="2">
        <v>18000</v>
      </c>
    </row>
    <row r="91" spans="1:10" x14ac:dyDescent="0.6">
      <c r="A91" s="2" t="s">
        <v>203</v>
      </c>
      <c r="B91" s="2" t="s">
        <v>204</v>
      </c>
      <c r="C91" s="2">
        <v>50</v>
      </c>
      <c r="D91" s="2" t="s">
        <v>11</v>
      </c>
      <c r="E91" s="2" t="s">
        <v>12</v>
      </c>
      <c r="F91" s="2" t="s">
        <v>13</v>
      </c>
      <c r="G91" s="2" t="s">
        <v>14</v>
      </c>
      <c r="H91" s="2" t="s">
        <v>31</v>
      </c>
      <c r="I91" s="3">
        <v>46300</v>
      </c>
      <c r="J91" s="2">
        <v>7900</v>
      </c>
    </row>
    <row r="92" spans="1:10" x14ac:dyDescent="0.6">
      <c r="A92" s="2" t="s">
        <v>205</v>
      </c>
      <c r="B92" s="2" t="s">
        <v>206</v>
      </c>
      <c r="C92" s="2">
        <v>24</v>
      </c>
      <c r="D92" s="2" t="s">
        <v>18</v>
      </c>
      <c r="E92" s="2" t="s">
        <v>29</v>
      </c>
      <c r="F92" s="2" t="s">
        <v>30</v>
      </c>
      <c r="G92" s="2" t="s">
        <v>14</v>
      </c>
      <c r="H92" s="2" t="s">
        <v>21</v>
      </c>
      <c r="I92" s="3">
        <v>46300</v>
      </c>
      <c r="J92" s="2">
        <v>2700</v>
      </c>
    </row>
    <row r="93" spans="1:10" x14ac:dyDescent="0.6">
      <c r="A93" s="2" t="s">
        <v>207</v>
      </c>
      <c r="B93" s="2" t="s">
        <v>208</v>
      </c>
      <c r="C93" s="2">
        <v>57</v>
      </c>
      <c r="D93" s="2" t="s">
        <v>11</v>
      </c>
      <c r="E93" s="2" t="s">
        <v>19</v>
      </c>
      <c r="F93" s="2" t="s">
        <v>20</v>
      </c>
      <c r="G93" s="2" t="s">
        <v>26</v>
      </c>
      <c r="H93" s="2" t="s">
        <v>15</v>
      </c>
      <c r="I93" s="3">
        <v>46300</v>
      </c>
      <c r="J93" s="2">
        <v>12800</v>
      </c>
    </row>
    <row r="94" spans="1:10" x14ac:dyDescent="0.6">
      <c r="A94" s="2" t="s">
        <v>209</v>
      </c>
      <c r="B94" s="2" t="s">
        <v>54</v>
      </c>
      <c r="C94" s="2">
        <v>30</v>
      </c>
      <c r="D94" s="2" t="s">
        <v>18</v>
      </c>
      <c r="E94" s="2" t="s">
        <v>39</v>
      </c>
      <c r="F94" s="2" t="s">
        <v>40</v>
      </c>
      <c r="G94" s="2" t="s">
        <v>14</v>
      </c>
      <c r="H94" s="2" t="s">
        <v>31</v>
      </c>
      <c r="I94" s="3">
        <v>46301</v>
      </c>
      <c r="J94" s="2">
        <v>3500</v>
      </c>
    </row>
    <row r="95" spans="1:10" x14ac:dyDescent="0.6">
      <c r="A95" s="2" t="s">
        <v>210</v>
      </c>
      <c r="B95" s="2" t="s">
        <v>211</v>
      </c>
      <c r="C95" s="2">
        <v>48</v>
      </c>
      <c r="D95" s="2" t="s">
        <v>11</v>
      </c>
      <c r="E95" s="2" t="s">
        <v>24</v>
      </c>
      <c r="F95" s="2" t="s">
        <v>25</v>
      </c>
      <c r="G95" s="2" t="s">
        <v>14</v>
      </c>
      <c r="H95" s="2" t="s">
        <v>15</v>
      </c>
      <c r="I95" s="3">
        <v>46301</v>
      </c>
      <c r="J95" s="2">
        <v>8800</v>
      </c>
    </row>
    <row r="96" spans="1:10" x14ac:dyDescent="0.6">
      <c r="A96" s="2" t="s">
        <v>212</v>
      </c>
      <c r="B96" s="2" t="s">
        <v>213</v>
      </c>
      <c r="C96" s="2">
        <v>22</v>
      </c>
      <c r="D96" s="2" t="s">
        <v>18</v>
      </c>
      <c r="E96" s="2" t="s">
        <v>12</v>
      </c>
      <c r="F96" s="2" t="s">
        <v>13</v>
      </c>
      <c r="G96" s="2" t="s">
        <v>14</v>
      </c>
      <c r="H96" s="2" t="s">
        <v>21</v>
      </c>
      <c r="I96" s="3">
        <v>46301</v>
      </c>
      <c r="J96" s="2">
        <v>5200</v>
      </c>
    </row>
    <row r="97" spans="1:10" x14ac:dyDescent="0.6">
      <c r="A97" s="2" t="s">
        <v>214</v>
      </c>
      <c r="B97" s="2" t="s">
        <v>215</v>
      </c>
      <c r="C97" s="2">
        <v>63</v>
      </c>
      <c r="D97" s="2" t="s">
        <v>11</v>
      </c>
      <c r="E97" s="2" t="s">
        <v>12</v>
      </c>
      <c r="F97" s="2" t="s">
        <v>13</v>
      </c>
      <c r="G97" s="2" t="s">
        <v>34</v>
      </c>
      <c r="H97" s="2" t="s">
        <v>15</v>
      </c>
      <c r="I97" s="3">
        <v>46302</v>
      </c>
      <c r="J97" s="2">
        <v>26000</v>
      </c>
    </row>
    <row r="98" spans="1:10" x14ac:dyDescent="0.6">
      <c r="A98" s="2" t="s">
        <v>216</v>
      </c>
      <c r="B98" s="2" t="s">
        <v>70</v>
      </c>
      <c r="C98" s="2">
        <v>35</v>
      </c>
      <c r="D98" s="2" t="s">
        <v>18</v>
      </c>
      <c r="E98" s="2" t="s">
        <v>19</v>
      </c>
      <c r="F98" s="2" t="s">
        <v>20</v>
      </c>
      <c r="G98" s="2" t="s">
        <v>14</v>
      </c>
      <c r="H98" s="2" t="s">
        <v>31</v>
      </c>
      <c r="I98" s="3">
        <v>46302</v>
      </c>
      <c r="J98" s="2">
        <v>6300</v>
      </c>
    </row>
    <row r="99" spans="1:10" x14ac:dyDescent="0.6">
      <c r="A99" s="2" t="s">
        <v>217</v>
      </c>
      <c r="B99" s="2" t="s">
        <v>218</v>
      </c>
      <c r="C99" s="2">
        <v>27</v>
      </c>
      <c r="D99" s="2" t="s">
        <v>11</v>
      </c>
      <c r="E99" s="2" t="s">
        <v>39</v>
      </c>
      <c r="F99" s="2" t="s">
        <v>40</v>
      </c>
      <c r="G99" s="2" t="s">
        <v>14</v>
      </c>
      <c r="H99" s="2" t="s">
        <v>21</v>
      </c>
      <c r="I99" s="3">
        <v>46302</v>
      </c>
      <c r="J99" s="2">
        <v>3100</v>
      </c>
    </row>
    <row r="100" spans="1:10" x14ac:dyDescent="0.6">
      <c r="A100" s="2" t="s">
        <v>219</v>
      </c>
      <c r="B100" s="2" t="s">
        <v>84</v>
      </c>
      <c r="C100" s="2">
        <v>42</v>
      </c>
      <c r="D100" s="2" t="s">
        <v>18</v>
      </c>
      <c r="E100" s="2" t="s">
        <v>24</v>
      </c>
      <c r="F100" s="2" t="s">
        <v>25</v>
      </c>
      <c r="G100" s="2" t="s">
        <v>26</v>
      </c>
      <c r="H100" s="2" t="s">
        <v>15</v>
      </c>
      <c r="I100" s="3">
        <v>46303</v>
      </c>
      <c r="J100" s="2">
        <v>11800</v>
      </c>
    </row>
    <row r="101" spans="1:10" x14ac:dyDescent="0.6">
      <c r="A101" s="2" t="s">
        <v>220</v>
      </c>
      <c r="B101" s="2" t="s">
        <v>221</v>
      </c>
      <c r="C101" s="2">
        <v>53</v>
      </c>
      <c r="D101" s="2" t="s">
        <v>11</v>
      </c>
      <c r="E101" s="2" t="s">
        <v>29</v>
      </c>
      <c r="F101" s="2" t="s">
        <v>30</v>
      </c>
      <c r="G101" s="2" t="s">
        <v>14</v>
      </c>
      <c r="H101" s="2" t="s">
        <v>31</v>
      </c>
      <c r="I101" s="3">
        <v>46303</v>
      </c>
      <c r="J101" s="2">
        <v>4300</v>
      </c>
    </row>
    <row r="102" spans="1:10" x14ac:dyDescent="0.6">
      <c r="A102" s="2" t="s">
        <v>222</v>
      </c>
      <c r="B102" s="2" t="s">
        <v>223</v>
      </c>
      <c r="C102" s="2">
        <v>38</v>
      </c>
      <c r="D102" s="2" t="s">
        <v>11</v>
      </c>
      <c r="E102" s="2" t="s">
        <v>12</v>
      </c>
      <c r="F102" s="2" t="s">
        <v>13</v>
      </c>
      <c r="G102" s="2" t="s">
        <v>14</v>
      </c>
      <c r="H102" s="2" t="s">
        <v>15</v>
      </c>
      <c r="I102" s="3">
        <v>46303</v>
      </c>
      <c r="J102" s="2">
        <v>6900</v>
      </c>
    </row>
    <row r="103" spans="1:10" x14ac:dyDescent="0.6">
      <c r="A103" s="2" t="s">
        <v>224</v>
      </c>
      <c r="B103" s="2" t="s">
        <v>225</v>
      </c>
      <c r="C103" s="2">
        <v>25</v>
      </c>
      <c r="D103" s="2" t="s">
        <v>18</v>
      </c>
      <c r="E103" s="2" t="s">
        <v>19</v>
      </c>
      <c r="F103" s="2" t="s">
        <v>20</v>
      </c>
      <c r="G103" s="2" t="s">
        <v>14</v>
      </c>
      <c r="H103" s="2" t="s">
        <v>21</v>
      </c>
      <c r="I103" s="3">
        <v>46304</v>
      </c>
      <c r="J103" s="2">
        <v>5700</v>
      </c>
    </row>
    <row r="104" spans="1:10" x14ac:dyDescent="0.6">
      <c r="A104" s="2" t="s">
        <v>226</v>
      </c>
      <c r="B104" s="2" t="s">
        <v>227</v>
      </c>
      <c r="C104" s="2">
        <v>47</v>
      </c>
      <c r="D104" s="2" t="s">
        <v>11</v>
      </c>
      <c r="E104" s="2" t="s">
        <v>24</v>
      </c>
      <c r="F104" s="2" t="s">
        <v>25</v>
      </c>
      <c r="G104" s="2" t="s">
        <v>34</v>
      </c>
      <c r="H104" s="2" t="s">
        <v>15</v>
      </c>
      <c r="I104" s="3">
        <v>46304</v>
      </c>
      <c r="J104" s="2">
        <v>19800</v>
      </c>
    </row>
    <row r="105" spans="1:10" x14ac:dyDescent="0.6">
      <c r="A105" s="2" t="s">
        <v>228</v>
      </c>
      <c r="B105" s="2" t="s">
        <v>229</v>
      </c>
      <c r="C105" s="2">
        <v>29</v>
      </c>
      <c r="D105" s="2" t="s">
        <v>18</v>
      </c>
      <c r="E105" s="2" t="s">
        <v>29</v>
      </c>
      <c r="F105" s="2" t="s">
        <v>30</v>
      </c>
      <c r="G105" s="2" t="s">
        <v>14</v>
      </c>
      <c r="H105" s="2" t="s">
        <v>31</v>
      </c>
      <c r="I105" s="3">
        <v>46304</v>
      </c>
      <c r="J105" s="2">
        <v>3300</v>
      </c>
    </row>
    <row r="106" spans="1:10" x14ac:dyDescent="0.6">
      <c r="A106" s="2" t="s">
        <v>230</v>
      </c>
      <c r="B106" s="2" t="s">
        <v>231</v>
      </c>
      <c r="C106" s="2">
        <v>59</v>
      </c>
      <c r="D106" s="2" t="s">
        <v>11</v>
      </c>
      <c r="E106" s="2" t="s">
        <v>12</v>
      </c>
      <c r="F106" s="2" t="s">
        <v>13</v>
      </c>
      <c r="G106" s="2" t="s">
        <v>26</v>
      </c>
      <c r="H106" s="2" t="s">
        <v>15</v>
      </c>
      <c r="I106" s="3">
        <v>46305</v>
      </c>
      <c r="J106" s="2">
        <v>16500</v>
      </c>
    </row>
    <row r="107" spans="1:10" x14ac:dyDescent="0.6">
      <c r="A107" s="2" t="s">
        <v>232</v>
      </c>
      <c r="B107" s="2" t="s">
        <v>175</v>
      </c>
      <c r="C107" s="2">
        <v>33</v>
      </c>
      <c r="D107" s="2" t="s">
        <v>18</v>
      </c>
      <c r="E107" s="2" t="s">
        <v>39</v>
      </c>
      <c r="F107" s="2" t="s">
        <v>40</v>
      </c>
      <c r="G107" s="2" t="s">
        <v>14</v>
      </c>
      <c r="H107" s="2" t="s">
        <v>21</v>
      </c>
      <c r="I107" s="3">
        <v>46305</v>
      </c>
      <c r="J107" s="2">
        <v>3800</v>
      </c>
    </row>
    <row r="108" spans="1:10" x14ac:dyDescent="0.6">
      <c r="A108" s="2" t="s">
        <v>233</v>
      </c>
      <c r="B108" s="2" t="s">
        <v>234</v>
      </c>
      <c r="C108" s="2">
        <v>41</v>
      </c>
      <c r="D108" s="2" t="s">
        <v>11</v>
      </c>
      <c r="E108" s="2" t="s">
        <v>19</v>
      </c>
      <c r="F108" s="2" t="s">
        <v>20</v>
      </c>
      <c r="G108" s="2" t="s">
        <v>14</v>
      </c>
      <c r="H108" s="2" t="s">
        <v>31</v>
      </c>
      <c r="I108" s="3">
        <v>46305</v>
      </c>
      <c r="J108" s="2">
        <v>7400</v>
      </c>
    </row>
    <row r="109" spans="1:10" x14ac:dyDescent="0.6">
      <c r="A109" s="2" t="s">
        <v>235</v>
      </c>
      <c r="B109" s="2" t="s">
        <v>236</v>
      </c>
      <c r="C109" s="2">
        <v>23</v>
      </c>
      <c r="D109" s="2" t="s">
        <v>18</v>
      </c>
      <c r="E109" s="2" t="s">
        <v>29</v>
      </c>
      <c r="F109" s="2" t="s">
        <v>30</v>
      </c>
      <c r="G109" s="2" t="s">
        <v>14</v>
      </c>
      <c r="H109" s="2" t="s">
        <v>15</v>
      </c>
      <c r="I109" s="3">
        <v>46306</v>
      </c>
      <c r="J109" s="2">
        <v>2900</v>
      </c>
    </row>
    <row r="110" spans="1:10" x14ac:dyDescent="0.6">
      <c r="A110" s="2" t="s">
        <v>237</v>
      </c>
      <c r="B110" s="2" t="s">
        <v>238</v>
      </c>
      <c r="C110" s="2">
        <v>54</v>
      </c>
      <c r="D110" s="2" t="s">
        <v>11</v>
      </c>
      <c r="E110" s="2" t="s">
        <v>24</v>
      </c>
      <c r="F110" s="2" t="s">
        <v>25</v>
      </c>
      <c r="G110" s="2" t="s">
        <v>34</v>
      </c>
      <c r="H110" s="2" t="s">
        <v>21</v>
      </c>
      <c r="I110" s="3">
        <v>46306</v>
      </c>
      <c r="J110" s="2">
        <v>22500</v>
      </c>
    </row>
    <row r="111" spans="1:10" x14ac:dyDescent="0.6">
      <c r="A111" s="2" t="s">
        <v>239</v>
      </c>
      <c r="B111" s="2" t="s">
        <v>240</v>
      </c>
      <c r="C111" s="2">
        <v>36</v>
      </c>
      <c r="D111" s="2" t="s">
        <v>18</v>
      </c>
      <c r="E111" s="2" t="s">
        <v>12</v>
      </c>
      <c r="F111" s="2" t="s">
        <v>13</v>
      </c>
      <c r="G111" s="2" t="s">
        <v>14</v>
      </c>
      <c r="H111" s="2" t="s">
        <v>31</v>
      </c>
      <c r="I111" s="3">
        <v>46306</v>
      </c>
      <c r="J111" s="2">
        <v>6100</v>
      </c>
    </row>
    <row r="112" spans="1:10" x14ac:dyDescent="0.6">
      <c r="A112" s="2" t="s">
        <v>241</v>
      </c>
      <c r="B112" s="2" t="s">
        <v>72</v>
      </c>
      <c r="C112" s="2">
        <v>45</v>
      </c>
      <c r="D112" s="2" t="s">
        <v>11</v>
      </c>
      <c r="E112" s="2" t="s">
        <v>19</v>
      </c>
      <c r="F112" s="2" t="s">
        <v>20</v>
      </c>
      <c r="G112" s="2" t="s">
        <v>26</v>
      </c>
      <c r="H112" s="2" t="s">
        <v>15</v>
      </c>
      <c r="I112" s="3">
        <v>46307</v>
      </c>
      <c r="J112" s="2">
        <v>13500</v>
      </c>
    </row>
    <row r="113" spans="1:10" x14ac:dyDescent="0.6">
      <c r="A113" s="2" t="s">
        <v>242</v>
      </c>
      <c r="B113" s="2" t="s">
        <v>243</v>
      </c>
      <c r="C113" s="2">
        <v>28</v>
      </c>
      <c r="D113" s="2" t="s">
        <v>18</v>
      </c>
      <c r="E113" s="2" t="s">
        <v>39</v>
      </c>
      <c r="F113" s="2" t="s">
        <v>40</v>
      </c>
      <c r="G113" s="2" t="s">
        <v>14</v>
      </c>
      <c r="H113" s="2" t="s">
        <v>21</v>
      </c>
      <c r="I113" s="3">
        <v>46307</v>
      </c>
      <c r="J113" s="2">
        <v>3400</v>
      </c>
    </row>
    <row r="114" spans="1:10" x14ac:dyDescent="0.6">
      <c r="A114" s="2" t="s">
        <v>244</v>
      </c>
      <c r="B114" s="2" t="s">
        <v>56</v>
      </c>
      <c r="C114" s="2">
        <v>60</v>
      </c>
      <c r="D114" s="2" t="s">
        <v>11</v>
      </c>
      <c r="E114" s="2" t="s">
        <v>12</v>
      </c>
      <c r="F114" s="2" t="s">
        <v>13</v>
      </c>
      <c r="G114" s="2" t="s">
        <v>34</v>
      </c>
      <c r="H114" s="2" t="s">
        <v>15</v>
      </c>
      <c r="I114" s="3">
        <v>46307</v>
      </c>
      <c r="J114" s="2">
        <v>24500</v>
      </c>
    </row>
    <row r="115" spans="1:10" x14ac:dyDescent="0.6">
      <c r="A115" s="2" t="s">
        <v>245</v>
      </c>
      <c r="B115" s="2" t="s">
        <v>62</v>
      </c>
      <c r="C115" s="2">
        <v>31</v>
      </c>
      <c r="D115" s="2" t="s">
        <v>18</v>
      </c>
      <c r="E115" s="2" t="s">
        <v>29</v>
      </c>
      <c r="F115" s="2" t="s">
        <v>30</v>
      </c>
      <c r="G115" s="2" t="s">
        <v>14</v>
      </c>
      <c r="H115" s="2" t="s">
        <v>31</v>
      </c>
      <c r="I115" s="3">
        <v>46308</v>
      </c>
      <c r="J115" s="2">
        <v>3600</v>
      </c>
    </row>
    <row r="116" spans="1:10" x14ac:dyDescent="0.6">
      <c r="A116" s="2" t="s">
        <v>246</v>
      </c>
      <c r="B116" s="2" t="s">
        <v>247</v>
      </c>
      <c r="C116" s="2">
        <v>49</v>
      </c>
      <c r="D116" s="2" t="s">
        <v>11</v>
      </c>
      <c r="E116" s="2" t="s">
        <v>24</v>
      </c>
      <c r="F116" s="2" t="s">
        <v>25</v>
      </c>
      <c r="G116" s="2" t="s">
        <v>14</v>
      </c>
      <c r="H116" s="2" t="s">
        <v>15</v>
      </c>
      <c r="I116" s="3">
        <v>46308</v>
      </c>
      <c r="J116" s="2">
        <v>9100</v>
      </c>
    </row>
    <row r="117" spans="1:10" x14ac:dyDescent="0.6">
      <c r="A117" s="2" t="s">
        <v>248</v>
      </c>
      <c r="B117" s="2" t="s">
        <v>249</v>
      </c>
      <c r="C117" s="2">
        <v>34</v>
      </c>
      <c r="D117" s="2" t="s">
        <v>18</v>
      </c>
      <c r="E117" s="2" t="s">
        <v>19</v>
      </c>
      <c r="F117" s="2" t="s">
        <v>20</v>
      </c>
      <c r="G117" s="2" t="s">
        <v>14</v>
      </c>
      <c r="H117" s="2" t="s">
        <v>21</v>
      </c>
      <c r="I117" s="3">
        <v>46308</v>
      </c>
      <c r="J117" s="2">
        <v>6800</v>
      </c>
    </row>
    <row r="118" spans="1:10" x14ac:dyDescent="0.6">
      <c r="A118" s="2" t="s">
        <v>250</v>
      </c>
      <c r="B118" s="2" t="s">
        <v>251</v>
      </c>
      <c r="C118" s="2">
        <v>26</v>
      </c>
      <c r="D118" s="2" t="s">
        <v>11</v>
      </c>
      <c r="E118" s="2" t="s">
        <v>39</v>
      </c>
      <c r="F118" s="2" t="s">
        <v>40</v>
      </c>
      <c r="G118" s="2" t="s">
        <v>14</v>
      </c>
      <c r="H118" s="2" t="s">
        <v>31</v>
      </c>
      <c r="I118" s="3">
        <v>46309</v>
      </c>
      <c r="J118" s="2">
        <v>2900</v>
      </c>
    </row>
    <row r="119" spans="1:10" x14ac:dyDescent="0.6">
      <c r="A119" s="2" t="s">
        <v>252</v>
      </c>
      <c r="B119" s="2" t="s">
        <v>253</v>
      </c>
      <c r="C119" s="2">
        <v>52</v>
      </c>
      <c r="D119" s="2" t="s">
        <v>18</v>
      </c>
      <c r="E119" s="2" t="s">
        <v>12</v>
      </c>
      <c r="F119" s="2" t="s">
        <v>13</v>
      </c>
      <c r="G119" s="2" t="s">
        <v>26</v>
      </c>
      <c r="H119" s="2" t="s">
        <v>15</v>
      </c>
      <c r="I119" s="3">
        <v>46309</v>
      </c>
      <c r="J119" s="2">
        <v>15000</v>
      </c>
    </row>
    <row r="120" spans="1:10" x14ac:dyDescent="0.6">
      <c r="A120" s="2" t="s">
        <v>254</v>
      </c>
      <c r="B120" s="2" t="s">
        <v>255</v>
      </c>
      <c r="C120" s="2">
        <v>43</v>
      </c>
      <c r="D120" s="2" t="s">
        <v>11</v>
      </c>
      <c r="E120" s="2" t="s">
        <v>24</v>
      </c>
      <c r="F120" s="2" t="s">
        <v>25</v>
      </c>
      <c r="G120" s="2" t="s">
        <v>34</v>
      </c>
      <c r="H120" s="2" t="s">
        <v>21</v>
      </c>
      <c r="I120" s="3">
        <v>46309</v>
      </c>
      <c r="J120" s="2">
        <v>20500</v>
      </c>
    </row>
    <row r="121" spans="1:10" x14ac:dyDescent="0.6">
      <c r="A121" s="2" t="s">
        <v>256</v>
      </c>
      <c r="B121" s="2" t="s">
        <v>74</v>
      </c>
      <c r="C121" s="2">
        <v>27</v>
      </c>
      <c r="D121" s="2" t="s">
        <v>18</v>
      </c>
      <c r="E121" s="2" t="s">
        <v>29</v>
      </c>
      <c r="F121" s="2" t="s">
        <v>30</v>
      </c>
      <c r="G121" s="2" t="s">
        <v>14</v>
      </c>
      <c r="H121" s="2" t="s">
        <v>31</v>
      </c>
      <c r="I121" s="3">
        <v>46310</v>
      </c>
      <c r="J121" s="2">
        <v>3100</v>
      </c>
    </row>
    <row r="122" spans="1:10" x14ac:dyDescent="0.6">
      <c r="A122" s="2" t="s">
        <v>257</v>
      </c>
      <c r="B122" s="2" t="s">
        <v>258</v>
      </c>
      <c r="C122" s="2">
        <v>56</v>
      </c>
      <c r="D122" s="2" t="s">
        <v>11</v>
      </c>
      <c r="E122" s="2" t="s">
        <v>19</v>
      </c>
      <c r="F122" s="2" t="s">
        <v>20</v>
      </c>
      <c r="G122" s="2" t="s">
        <v>34</v>
      </c>
      <c r="H122" s="2" t="s">
        <v>15</v>
      </c>
      <c r="I122" s="3">
        <v>46310</v>
      </c>
      <c r="J122" s="2">
        <v>18500</v>
      </c>
    </row>
    <row r="123" spans="1:10" x14ac:dyDescent="0.6">
      <c r="A123" s="2" t="s">
        <v>259</v>
      </c>
      <c r="B123" s="2" t="s">
        <v>108</v>
      </c>
      <c r="C123" s="2">
        <v>39</v>
      </c>
      <c r="D123" s="2" t="s">
        <v>18</v>
      </c>
      <c r="E123" s="2" t="s">
        <v>39</v>
      </c>
      <c r="F123" s="2" t="s">
        <v>40</v>
      </c>
      <c r="G123" s="2" t="s">
        <v>14</v>
      </c>
      <c r="H123" s="2" t="s">
        <v>21</v>
      </c>
      <c r="I123" s="3">
        <v>46310</v>
      </c>
      <c r="J123" s="2">
        <v>4200</v>
      </c>
    </row>
    <row r="124" spans="1:10" x14ac:dyDescent="0.6">
      <c r="A124" s="2" t="s">
        <v>260</v>
      </c>
      <c r="B124" s="2" t="s">
        <v>261</v>
      </c>
      <c r="C124" s="2">
        <v>50</v>
      </c>
      <c r="D124" s="2" t="s">
        <v>11</v>
      </c>
      <c r="E124" s="2" t="s">
        <v>12</v>
      </c>
      <c r="F124" s="2" t="s">
        <v>13</v>
      </c>
      <c r="G124" s="2" t="s">
        <v>14</v>
      </c>
      <c r="H124" s="2" t="s">
        <v>15</v>
      </c>
      <c r="I124" s="3">
        <v>46311</v>
      </c>
      <c r="J124" s="2">
        <v>8200</v>
      </c>
    </row>
    <row r="125" spans="1:10" x14ac:dyDescent="0.6">
      <c r="A125" s="2" t="s">
        <v>262</v>
      </c>
      <c r="B125" s="2" t="s">
        <v>100</v>
      </c>
      <c r="C125" s="2">
        <v>24</v>
      </c>
      <c r="D125" s="2" t="s">
        <v>18</v>
      </c>
      <c r="E125" s="2" t="s">
        <v>29</v>
      </c>
      <c r="F125" s="2" t="s">
        <v>30</v>
      </c>
      <c r="G125" s="2" t="s">
        <v>14</v>
      </c>
      <c r="H125" s="2" t="s">
        <v>31</v>
      </c>
      <c r="I125" s="3">
        <v>46311</v>
      </c>
      <c r="J125" s="2">
        <v>2800</v>
      </c>
    </row>
    <row r="126" spans="1:10" x14ac:dyDescent="0.6">
      <c r="A126" s="2" t="s">
        <v>263</v>
      </c>
      <c r="B126" s="2" t="s">
        <v>264</v>
      </c>
      <c r="C126" s="2">
        <v>62</v>
      </c>
      <c r="D126" s="2" t="s">
        <v>11</v>
      </c>
      <c r="E126" s="2" t="s">
        <v>24</v>
      </c>
      <c r="F126" s="2" t="s">
        <v>25</v>
      </c>
      <c r="G126" s="2" t="s">
        <v>26</v>
      </c>
      <c r="H126" s="3" t="s">
        <v>15</v>
      </c>
      <c r="I126" s="3">
        <v>46311</v>
      </c>
      <c r="J126"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topLeftCell="B1" workbookViewId="0">
      <selection activeCell="G4" sqref="G4"/>
    </sheetView>
  </sheetViews>
  <sheetFormatPr defaultRowHeight="26" x14ac:dyDescent="0.6"/>
  <cols>
    <col min="1" max="1" width="11.296875" bestFit="1" customWidth="1"/>
    <col min="2" max="2" width="17.1484375" customWidth="1"/>
  </cols>
  <sheetData>
    <row r="3" spans="1:2" x14ac:dyDescent="0.6">
      <c r="A3" s="5" t="s">
        <v>268</v>
      </c>
      <c r="B3" t="s">
        <v>270</v>
      </c>
    </row>
    <row r="4" spans="1:2" x14ac:dyDescent="0.6">
      <c r="A4" s="6" t="s">
        <v>12</v>
      </c>
      <c r="B4" s="7">
        <v>30</v>
      </c>
    </row>
    <row r="5" spans="1:2" x14ac:dyDescent="0.6">
      <c r="A5" s="6" t="s">
        <v>39</v>
      </c>
      <c r="B5" s="7">
        <v>22</v>
      </c>
    </row>
    <row r="6" spans="1:2" x14ac:dyDescent="0.6">
      <c r="A6" s="6" t="s">
        <v>19</v>
      </c>
      <c r="B6" s="7">
        <v>25</v>
      </c>
    </row>
    <row r="7" spans="1:2" x14ac:dyDescent="0.6">
      <c r="A7" s="6" t="s">
        <v>24</v>
      </c>
      <c r="B7" s="7">
        <v>25</v>
      </c>
    </row>
    <row r="8" spans="1:2" x14ac:dyDescent="0.6">
      <c r="A8" s="6" t="s">
        <v>29</v>
      </c>
      <c r="B8" s="7">
        <v>23</v>
      </c>
    </row>
    <row r="9" spans="1:2" x14ac:dyDescent="0.6">
      <c r="A9" s="6" t="s">
        <v>269</v>
      </c>
      <c r="B9" s="7">
        <v>125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X42"/>
  <sheetViews>
    <sheetView showGridLines="0" tabSelected="1" zoomScale="40" zoomScaleNormal="40" workbookViewId="0">
      <selection activeCell="X3" sqref="X3"/>
    </sheetView>
  </sheetViews>
  <sheetFormatPr defaultRowHeight="26" x14ac:dyDescent="0.6"/>
  <cols>
    <col min="18" max="18" width="10.94921875" customWidth="1"/>
    <col min="24" max="24" width="8.796875" style="8"/>
  </cols>
  <sheetData>
    <row r="1" spans="1:24" x14ac:dyDescent="0.6">
      <c r="A1" s="9"/>
      <c r="B1" s="9"/>
      <c r="C1" s="9"/>
      <c r="D1" s="9"/>
      <c r="E1" s="9"/>
      <c r="F1" s="9"/>
      <c r="G1" s="9"/>
      <c r="H1" s="9"/>
      <c r="I1" s="9"/>
      <c r="J1" s="9"/>
      <c r="K1" s="9"/>
      <c r="L1" s="9"/>
      <c r="M1" s="9"/>
      <c r="N1" s="9"/>
      <c r="O1" s="9"/>
      <c r="P1" s="9"/>
      <c r="Q1" s="9"/>
      <c r="R1" s="9"/>
      <c r="S1" s="9"/>
      <c r="T1" s="9"/>
      <c r="U1" s="9"/>
      <c r="V1" s="9"/>
      <c r="W1" s="10"/>
      <c r="X1" s="10"/>
    </row>
    <row r="2" spans="1:24" x14ac:dyDescent="0.6">
      <c r="A2" s="9"/>
      <c r="B2" s="9"/>
      <c r="C2" s="9"/>
      <c r="D2" s="9"/>
      <c r="E2" s="9"/>
      <c r="F2" s="9"/>
      <c r="G2" s="9"/>
      <c r="H2" s="9"/>
      <c r="I2" s="9"/>
      <c r="J2" s="9"/>
      <c r="K2" s="9"/>
      <c r="L2" s="9"/>
      <c r="M2" s="9"/>
      <c r="N2" s="9"/>
      <c r="O2" s="9"/>
      <c r="P2" s="9"/>
      <c r="Q2" s="9"/>
      <c r="R2" s="9"/>
      <c r="S2" s="9"/>
      <c r="T2" s="9"/>
      <c r="U2" s="9"/>
      <c r="V2" s="9"/>
      <c r="W2" s="10"/>
      <c r="X2" s="10"/>
    </row>
    <row r="3" spans="1:24" ht="31" x14ac:dyDescent="0.7">
      <c r="A3" s="9"/>
      <c r="B3" s="9"/>
      <c r="C3" s="9"/>
      <c r="D3" s="9"/>
      <c r="E3" s="9"/>
      <c r="F3" s="9"/>
      <c r="G3" s="9"/>
      <c r="H3" s="9"/>
      <c r="I3" s="9"/>
      <c r="J3" s="9"/>
      <c r="K3" s="9"/>
      <c r="L3" s="9"/>
      <c r="M3" s="9"/>
      <c r="N3" s="9"/>
      <c r="O3" s="9"/>
      <c r="P3" s="9"/>
      <c r="Q3" s="9"/>
      <c r="R3" s="9"/>
      <c r="S3" s="9"/>
      <c r="T3" s="9"/>
      <c r="U3" s="9"/>
      <c r="V3" s="9"/>
      <c r="W3" s="20"/>
      <c r="X3" s="10"/>
    </row>
    <row r="4" spans="1:24" x14ac:dyDescent="0.6">
      <c r="A4" s="9"/>
      <c r="B4" s="9"/>
      <c r="C4" s="9"/>
      <c r="D4" s="9"/>
      <c r="E4" s="9"/>
      <c r="F4" s="9"/>
      <c r="G4" s="9"/>
      <c r="H4" s="9"/>
      <c r="I4" s="9"/>
      <c r="J4" s="9"/>
      <c r="K4" s="9"/>
      <c r="L4" s="9"/>
      <c r="M4" s="9"/>
      <c r="N4" s="9"/>
      <c r="O4" s="9"/>
      <c r="P4" s="9"/>
      <c r="Q4" s="9"/>
      <c r="R4" s="9"/>
      <c r="S4" s="9"/>
      <c r="T4" s="9"/>
      <c r="U4" s="9"/>
      <c r="V4" s="9"/>
      <c r="W4" s="10"/>
      <c r="X4" s="10"/>
    </row>
    <row r="5" spans="1:24" x14ac:dyDescent="0.6">
      <c r="A5" s="9"/>
      <c r="B5" s="9"/>
      <c r="C5" s="9"/>
      <c r="D5" s="9"/>
      <c r="E5" s="9"/>
      <c r="F5" s="9"/>
      <c r="G5" s="9"/>
      <c r="H5" s="9"/>
      <c r="I5" s="9"/>
      <c r="J5" s="9"/>
      <c r="K5" s="9"/>
      <c r="L5" s="9"/>
      <c r="M5" s="9"/>
      <c r="N5" s="9"/>
      <c r="O5" s="9"/>
      <c r="P5" s="9"/>
      <c r="Q5" s="9"/>
      <c r="R5" s="9"/>
      <c r="S5" s="9"/>
      <c r="T5" s="9"/>
      <c r="U5" s="9"/>
      <c r="V5" s="9"/>
      <c r="W5" s="10"/>
      <c r="X5" s="10"/>
    </row>
    <row r="6" spans="1:24" x14ac:dyDescent="0.6">
      <c r="A6" s="9"/>
      <c r="B6" s="9"/>
      <c r="C6" s="9"/>
      <c r="D6" s="9"/>
      <c r="E6" s="9"/>
      <c r="F6" s="9"/>
      <c r="G6" s="9"/>
      <c r="H6" s="9"/>
      <c r="I6" s="9"/>
      <c r="J6" s="9"/>
      <c r="K6" s="9"/>
      <c r="L6" s="9"/>
      <c r="M6" s="9"/>
      <c r="N6" s="9"/>
      <c r="O6" s="9"/>
      <c r="P6" s="9"/>
      <c r="Q6" s="9"/>
      <c r="R6" s="9"/>
      <c r="S6" s="9"/>
      <c r="T6" s="9"/>
      <c r="U6" s="9"/>
      <c r="V6" s="9"/>
      <c r="W6" s="10"/>
      <c r="X6" s="10"/>
    </row>
    <row r="7" spans="1:24" x14ac:dyDescent="0.6">
      <c r="A7" s="9"/>
      <c r="B7" s="9"/>
      <c r="C7" s="9"/>
      <c r="D7" s="9"/>
      <c r="E7" s="9"/>
      <c r="F7" s="9"/>
      <c r="G7" s="9"/>
      <c r="H7" s="9"/>
      <c r="I7" s="9"/>
      <c r="J7" s="9"/>
      <c r="K7" s="9"/>
      <c r="L7" s="9"/>
      <c r="M7" s="9"/>
      <c r="N7" s="9"/>
      <c r="O7" s="9"/>
      <c r="P7" s="9"/>
      <c r="Q7" s="9"/>
      <c r="R7" s="9"/>
      <c r="S7" s="9"/>
      <c r="T7" s="9"/>
      <c r="U7" s="9"/>
      <c r="V7" s="9"/>
      <c r="W7" s="10"/>
      <c r="X7" s="10"/>
    </row>
    <row r="8" spans="1:24" x14ac:dyDescent="0.6">
      <c r="A8" s="9"/>
      <c r="B8" s="9"/>
      <c r="C8" s="9"/>
      <c r="D8" s="9"/>
      <c r="E8" s="9"/>
      <c r="F8" s="9"/>
      <c r="G8" s="9"/>
      <c r="H8" s="9"/>
      <c r="I8" s="9"/>
      <c r="J8" s="9"/>
      <c r="K8" s="9"/>
      <c r="L8" s="9"/>
      <c r="M8" s="9"/>
      <c r="N8" s="9"/>
      <c r="O8" s="9"/>
      <c r="P8" s="9"/>
      <c r="Q8" s="9"/>
      <c r="R8" s="9"/>
      <c r="S8" s="9"/>
      <c r="T8" s="9"/>
      <c r="U8" s="9"/>
      <c r="V8" s="9"/>
      <c r="W8" s="10"/>
      <c r="X8" s="10"/>
    </row>
    <row r="9" spans="1:24" x14ac:dyDescent="0.6">
      <c r="A9" s="9"/>
      <c r="B9" s="9"/>
      <c r="C9" s="9"/>
      <c r="D9" s="9"/>
      <c r="E9" s="9"/>
      <c r="F9" s="9"/>
      <c r="G9" s="9"/>
      <c r="H9" s="9"/>
      <c r="I9" s="9"/>
      <c r="J9" s="9"/>
      <c r="K9" s="9"/>
      <c r="L9" s="9"/>
      <c r="M9" s="9"/>
      <c r="N9" s="9"/>
      <c r="O9" s="9"/>
      <c r="P9" s="9"/>
      <c r="Q9" s="9"/>
      <c r="R9" s="9"/>
      <c r="S9" s="9"/>
      <c r="T9" s="9"/>
      <c r="U9" s="9"/>
      <c r="V9" s="9"/>
      <c r="W9" s="10"/>
      <c r="X9" s="10"/>
    </row>
    <row r="10" spans="1:24" x14ac:dyDescent="0.6">
      <c r="A10" s="9"/>
      <c r="B10" s="9"/>
      <c r="C10" s="9"/>
      <c r="D10" s="9"/>
      <c r="E10" s="9"/>
      <c r="F10" s="9"/>
      <c r="G10" s="9"/>
      <c r="H10" s="9"/>
      <c r="I10" s="9"/>
      <c r="J10" s="9"/>
      <c r="K10" s="9"/>
      <c r="L10" s="9"/>
      <c r="M10" s="9"/>
      <c r="N10" s="9"/>
      <c r="O10" s="9"/>
      <c r="P10" s="9"/>
      <c r="Q10" s="9"/>
      <c r="R10" s="9"/>
      <c r="S10" s="9"/>
      <c r="T10" s="9"/>
      <c r="U10" s="9"/>
      <c r="V10" s="9"/>
      <c r="W10" s="10"/>
      <c r="X10" s="10"/>
    </row>
    <row r="11" spans="1:24" x14ac:dyDescent="0.6">
      <c r="A11" s="9"/>
      <c r="B11" s="9"/>
      <c r="C11" s="9"/>
      <c r="D11" s="9"/>
      <c r="E11" s="9"/>
      <c r="F11" s="9"/>
      <c r="G11" s="9"/>
      <c r="H11" s="9"/>
      <c r="I11" s="9"/>
      <c r="J11" s="9"/>
      <c r="K11" s="9"/>
      <c r="L11" s="9"/>
      <c r="M11" s="9"/>
      <c r="N11" s="9"/>
      <c r="O11" s="9"/>
      <c r="P11" s="9"/>
      <c r="Q11" s="9"/>
      <c r="R11" s="9"/>
      <c r="S11" s="9"/>
      <c r="T11" s="9"/>
      <c r="U11" s="9"/>
      <c r="V11" s="9"/>
      <c r="W11" s="10"/>
      <c r="X11" s="10"/>
    </row>
    <row r="12" spans="1:24" x14ac:dyDescent="0.6">
      <c r="A12" s="9"/>
      <c r="B12" s="9"/>
      <c r="C12" s="9"/>
      <c r="D12" s="9"/>
      <c r="E12" s="9"/>
      <c r="F12" s="9"/>
      <c r="G12" s="9"/>
      <c r="H12" s="9"/>
      <c r="I12" s="9"/>
      <c r="J12" s="9"/>
      <c r="K12" s="9"/>
      <c r="L12" s="9"/>
      <c r="M12" s="9"/>
      <c r="N12" s="9"/>
      <c r="O12" s="9"/>
      <c r="P12" s="9"/>
      <c r="Q12" s="9"/>
      <c r="R12" s="9"/>
      <c r="S12" s="9"/>
      <c r="T12" s="9"/>
      <c r="U12" s="9"/>
      <c r="V12" s="9"/>
      <c r="W12" s="10"/>
      <c r="X12" s="10"/>
    </row>
    <row r="13" spans="1:24" x14ac:dyDescent="0.6">
      <c r="A13" s="9"/>
      <c r="B13" s="9"/>
      <c r="C13" s="9"/>
      <c r="D13" s="9"/>
      <c r="E13" s="9"/>
      <c r="F13" s="9"/>
      <c r="G13" s="9"/>
      <c r="H13" s="9"/>
      <c r="I13" s="9"/>
      <c r="J13" s="9"/>
      <c r="K13" s="9"/>
      <c r="L13" s="9"/>
      <c r="M13" s="9"/>
      <c r="N13" s="9"/>
      <c r="O13" s="9"/>
      <c r="P13" s="9"/>
      <c r="Q13" s="9"/>
      <c r="R13" s="9"/>
      <c r="S13" s="9"/>
      <c r="T13" s="9"/>
      <c r="U13" s="9"/>
      <c r="V13" s="9"/>
      <c r="W13" s="10"/>
      <c r="X13" s="10"/>
    </row>
    <row r="14" spans="1:24" x14ac:dyDescent="0.6">
      <c r="A14" s="9"/>
      <c r="B14" s="9"/>
      <c r="C14" s="9"/>
      <c r="D14" s="9"/>
      <c r="E14" s="9"/>
      <c r="F14" s="9"/>
      <c r="G14" s="9"/>
      <c r="H14" s="9"/>
      <c r="I14" s="9"/>
      <c r="J14" s="9"/>
      <c r="K14" s="9"/>
      <c r="L14" s="9"/>
      <c r="M14" s="9"/>
      <c r="N14" s="9"/>
      <c r="O14" s="9"/>
      <c r="P14" s="9"/>
      <c r="Q14" s="9"/>
      <c r="R14" s="9"/>
      <c r="S14" s="9"/>
      <c r="T14" s="9"/>
      <c r="U14" s="9"/>
      <c r="V14" s="9"/>
      <c r="W14" s="10"/>
      <c r="X14" s="10"/>
    </row>
    <row r="15" spans="1:24" x14ac:dyDescent="0.6">
      <c r="A15" s="9"/>
      <c r="B15" s="9"/>
      <c r="C15" s="9"/>
      <c r="D15" s="9"/>
      <c r="E15" s="9"/>
      <c r="F15" s="9"/>
      <c r="G15" s="9"/>
      <c r="H15" s="9"/>
      <c r="I15" s="9"/>
      <c r="J15" s="9"/>
      <c r="K15" s="9"/>
      <c r="L15" s="9"/>
      <c r="M15" s="9"/>
      <c r="N15" s="9"/>
      <c r="O15" s="9"/>
      <c r="P15" s="9"/>
      <c r="Q15" s="9"/>
      <c r="R15" s="9"/>
      <c r="S15" s="9"/>
      <c r="T15" s="9"/>
      <c r="U15" s="9"/>
      <c r="V15" s="9"/>
      <c r="W15" s="10"/>
      <c r="X15" s="10"/>
    </row>
    <row r="16" spans="1:24" x14ac:dyDescent="0.6">
      <c r="A16" s="9"/>
      <c r="B16" s="9"/>
      <c r="C16" s="9"/>
      <c r="D16" s="9"/>
      <c r="E16" s="9"/>
      <c r="F16" s="9"/>
      <c r="G16" s="9"/>
      <c r="H16" s="9"/>
      <c r="I16" s="9"/>
      <c r="J16" s="9"/>
      <c r="K16" s="9"/>
      <c r="L16" s="9"/>
      <c r="M16" s="9"/>
      <c r="N16" s="9"/>
      <c r="O16" s="9"/>
      <c r="P16" s="9"/>
      <c r="Q16" s="9"/>
      <c r="R16" s="9"/>
      <c r="S16" s="9"/>
      <c r="T16" s="9"/>
      <c r="U16" s="9"/>
      <c r="V16" s="9"/>
      <c r="W16" s="10"/>
      <c r="X16" s="10"/>
    </row>
    <row r="17" spans="1:24" x14ac:dyDescent="0.6">
      <c r="A17" s="9"/>
      <c r="B17" s="9"/>
      <c r="C17" s="9"/>
      <c r="D17" s="9"/>
      <c r="E17" s="9"/>
      <c r="F17" s="9"/>
      <c r="G17" s="9"/>
      <c r="H17" s="9"/>
      <c r="I17" s="9"/>
      <c r="J17" s="9"/>
      <c r="K17" s="9"/>
      <c r="L17" s="9"/>
      <c r="M17" s="9"/>
      <c r="N17" s="9"/>
      <c r="O17" s="9"/>
      <c r="P17" s="9"/>
      <c r="Q17" s="9"/>
      <c r="R17" s="9"/>
      <c r="S17" s="9"/>
      <c r="T17" s="9"/>
      <c r="U17" s="9"/>
      <c r="V17" s="9"/>
      <c r="W17" s="10"/>
      <c r="X17" s="10"/>
    </row>
    <row r="18" spans="1:24" x14ac:dyDescent="0.6">
      <c r="A18" s="9"/>
      <c r="B18" s="9"/>
      <c r="C18" s="9"/>
      <c r="D18" s="9"/>
      <c r="E18" s="9"/>
      <c r="F18" s="9"/>
      <c r="G18" s="9"/>
      <c r="H18" s="9"/>
      <c r="I18" s="9"/>
      <c r="J18" s="9"/>
      <c r="K18" s="9"/>
      <c r="L18" s="9"/>
      <c r="M18" s="9"/>
      <c r="N18" s="9"/>
      <c r="O18" s="9"/>
      <c r="P18" s="9"/>
      <c r="Q18" s="9"/>
      <c r="R18" s="9"/>
      <c r="S18" s="9"/>
      <c r="T18" s="9"/>
      <c r="U18" s="9"/>
      <c r="V18" s="9"/>
      <c r="W18" s="10"/>
      <c r="X18" s="10"/>
    </row>
    <row r="19" spans="1:24" x14ac:dyDescent="0.6">
      <c r="A19" s="9"/>
      <c r="B19" s="9"/>
      <c r="C19" s="9"/>
      <c r="D19" s="9"/>
      <c r="E19" s="9"/>
      <c r="F19" s="9"/>
      <c r="G19" s="9"/>
      <c r="H19" s="9"/>
      <c r="I19" s="9"/>
      <c r="J19" s="9"/>
      <c r="K19" s="9"/>
      <c r="L19" s="9"/>
      <c r="M19" s="9"/>
      <c r="N19" s="9"/>
      <c r="O19" s="9"/>
      <c r="P19" s="9"/>
      <c r="Q19" s="9"/>
      <c r="R19" s="9"/>
      <c r="S19" s="9"/>
      <c r="T19" s="9"/>
      <c r="U19" s="9"/>
      <c r="V19" s="9"/>
      <c r="W19" s="10"/>
      <c r="X19" s="10"/>
    </row>
    <row r="20" spans="1:24" x14ac:dyDescent="0.6">
      <c r="A20" s="9"/>
      <c r="B20" s="9"/>
      <c r="C20" s="9"/>
      <c r="D20" s="9"/>
      <c r="E20" s="9"/>
      <c r="F20" s="9"/>
      <c r="G20" s="9"/>
      <c r="H20" s="9"/>
      <c r="I20" s="9"/>
      <c r="J20" s="9"/>
      <c r="K20" s="9"/>
      <c r="L20" s="9"/>
      <c r="M20" s="9"/>
      <c r="N20" s="9"/>
      <c r="O20" s="9"/>
      <c r="P20" s="9"/>
      <c r="Q20" s="9"/>
      <c r="R20" s="9"/>
      <c r="S20" s="9"/>
      <c r="T20" s="9"/>
      <c r="U20" s="9"/>
      <c r="V20" s="9"/>
      <c r="W20" s="10"/>
      <c r="X20" s="10"/>
    </row>
    <row r="21" spans="1:24" x14ac:dyDescent="0.6">
      <c r="A21" s="9"/>
      <c r="B21" s="9"/>
      <c r="C21" s="9"/>
      <c r="D21" s="9"/>
      <c r="E21" s="9"/>
      <c r="F21" s="9"/>
      <c r="G21" s="9"/>
      <c r="H21" s="9"/>
      <c r="I21" s="9"/>
      <c r="J21" s="9"/>
      <c r="K21" s="9"/>
      <c r="L21" s="9"/>
      <c r="M21" s="9"/>
      <c r="N21" s="9"/>
      <c r="O21" s="9"/>
      <c r="P21" s="9"/>
      <c r="Q21" s="9"/>
      <c r="R21" s="9"/>
      <c r="S21" s="9"/>
      <c r="T21" s="9"/>
      <c r="U21" s="9"/>
      <c r="V21" s="9"/>
      <c r="W21" s="10"/>
      <c r="X21" s="10"/>
    </row>
    <row r="22" spans="1:24" x14ac:dyDescent="0.6">
      <c r="A22" s="9"/>
      <c r="B22" s="9"/>
      <c r="C22" s="9"/>
      <c r="D22" s="9"/>
      <c r="E22" s="9"/>
      <c r="F22" s="9"/>
      <c r="G22" s="9"/>
      <c r="H22" s="9"/>
      <c r="I22" s="9"/>
      <c r="J22" s="9"/>
      <c r="K22" s="9"/>
      <c r="L22" s="9"/>
      <c r="M22" s="9"/>
      <c r="N22" s="9"/>
      <c r="O22" s="9"/>
      <c r="P22" s="9"/>
      <c r="Q22" s="9"/>
      <c r="R22" s="9"/>
      <c r="S22" s="9"/>
      <c r="T22" s="9"/>
      <c r="U22" s="9"/>
      <c r="V22" s="9"/>
      <c r="W22" s="10"/>
      <c r="X22" s="10"/>
    </row>
    <row r="23" spans="1:24" x14ac:dyDescent="0.6">
      <c r="A23" s="9"/>
      <c r="B23" s="9"/>
      <c r="C23" s="9"/>
      <c r="D23" s="9"/>
      <c r="E23" s="9"/>
      <c r="F23" s="9"/>
      <c r="G23" s="9"/>
      <c r="H23" s="9"/>
      <c r="I23" s="9"/>
      <c r="J23" s="9"/>
      <c r="K23" s="9"/>
      <c r="L23" s="9"/>
      <c r="M23" s="9"/>
      <c r="N23" s="9"/>
      <c r="O23" s="9"/>
      <c r="P23" s="9"/>
      <c r="Q23" s="9"/>
      <c r="R23" s="9"/>
      <c r="S23" s="9"/>
      <c r="T23" s="9"/>
      <c r="U23" s="9"/>
      <c r="V23" s="9"/>
      <c r="W23" s="10"/>
      <c r="X23" s="10"/>
    </row>
    <row r="24" spans="1:24" x14ac:dyDescent="0.6">
      <c r="A24" s="9"/>
      <c r="B24" s="9"/>
      <c r="C24" s="9"/>
      <c r="D24" s="9"/>
      <c r="E24" s="9"/>
      <c r="F24" s="9"/>
      <c r="G24" s="9"/>
      <c r="H24" s="9"/>
      <c r="I24" s="9"/>
      <c r="J24" s="9"/>
      <c r="K24" s="9"/>
      <c r="L24" s="9"/>
      <c r="M24" s="9"/>
      <c r="N24" s="9"/>
      <c r="O24" s="9"/>
      <c r="P24" s="9"/>
      <c r="Q24" s="9"/>
      <c r="R24" s="9"/>
      <c r="S24" s="9"/>
      <c r="T24" s="9"/>
      <c r="U24" s="9"/>
      <c r="V24" s="9"/>
      <c r="W24" s="10"/>
      <c r="X24" s="10"/>
    </row>
    <row r="25" spans="1:24" x14ac:dyDescent="0.6">
      <c r="A25" s="9"/>
      <c r="B25" s="9"/>
      <c r="C25" s="9"/>
      <c r="D25" s="9"/>
      <c r="E25" s="9"/>
      <c r="F25" s="9"/>
      <c r="G25" s="9"/>
      <c r="H25" s="9"/>
      <c r="I25" s="9"/>
      <c r="J25" s="9"/>
      <c r="K25" s="9"/>
      <c r="L25" s="9"/>
      <c r="M25" s="9"/>
      <c r="N25" s="9"/>
      <c r="O25" s="9"/>
      <c r="P25" s="9"/>
      <c r="Q25" s="9"/>
      <c r="R25" s="9"/>
      <c r="S25" s="9"/>
      <c r="T25" s="9"/>
      <c r="U25" s="9"/>
      <c r="V25" s="9"/>
      <c r="W25" s="10"/>
      <c r="X25" s="10"/>
    </row>
    <row r="26" spans="1:24" x14ac:dyDescent="0.6">
      <c r="A26" s="9"/>
      <c r="B26" s="9"/>
      <c r="C26" s="9"/>
      <c r="D26" s="9"/>
      <c r="E26" s="9"/>
      <c r="F26" s="9"/>
      <c r="G26" s="9"/>
      <c r="H26" s="9"/>
      <c r="I26" s="9"/>
      <c r="J26" s="9"/>
      <c r="K26" s="9"/>
      <c r="L26" s="9"/>
      <c r="M26" s="9"/>
      <c r="N26" s="9"/>
      <c r="O26" s="9"/>
      <c r="P26" s="9"/>
      <c r="Q26" s="9"/>
      <c r="R26" s="9"/>
      <c r="S26" s="9"/>
      <c r="T26" s="9"/>
      <c r="U26" s="9"/>
      <c r="V26" s="9"/>
      <c r="W26" s="10"/>
      <c r="X26" s="10"/>
    </row>
    <row r="27" spans="1:24" x14ac:dyDescent="0.6">
      <c r="A27" s="9"/>
      <c r="B27" s="9"/>
      <c r="C27" s="9"/>
      <c r="D27" s="9"/>
      <c r="E27" s="9"/>
      <c r="F27" s="9"/>
      <c r="G27" s="9"/>
      <c r="H27" s="9"/>
      <c r="I27" s="9"/>
      <c r="J27" s="9"/>
      <c r="K27" s="9"/>
      <c r="L27" s="9"/>
      <c r="M27" s="9"/>
      <c r="N27" s="9"/>
      <c r="O27" s="9"/>
      <c r="P27" s="9"/>
      <c r="Q27" s="9"/>
      <c r="R27" s="9"/>
      <c r="S27" s="9"/>
      <c r="T27" s="9"/>
      <c r="U27" s="9"/>
      <c r="V27" s="9"/>
      <c r="W27" s="10"/>
      <c r="X27" s="10"/>
    </row>
    <row r="28" spans="1:24" x14ac:dyDescent="0.6">
      <c r="A28" s="9"/>
      <c r="B28" s="9"/>
      <c r="C28" s="9"/>
      <c r="D28" s="9"/>
      <c r="E28" s="9"/>
      <c r="F28" s="9"/>
      <c r="G28" s="9"/>
      <c r="H28" s="9"/>
      <c r="I28" s="9"/>
      <c r="J28" s="9"/>
      <c r="K28" s="9"/>
      <c r="L28" s="9"/>
      <c r="M28" s="9"/>
      <c r="N28" s="9"/>
      <c r="O28" s="9"/>
      <c r="P28" s="9"/>
      <c r="Q28" s="9"/>
      <c r="R28" s="9"/>
      <c r="S28" s="9"/>
      <c r="T28" s="9"/>
      <c r="U28" s="9"/>
      <c r="V28" s="9"/>
      <c r="W28" s="10"/>
      <c r="X28" s="10"/>
    </row>
    <row r="29" spans="1:24" x14ac:dyDescent="0.6">
      <c r="A29" s="9"/>
      <c r="B29" s="9"/>
      <c r="C29" s="9"/>
      <c r="D29" s="9"/>
      <c r="E29" s="9"/>
      <c r="F29" s="9"/>
      <c r="G29" s="9"/>
      <c r="H29" s="9"/>
      <c r="I29" s="9"/>
      <c r="J29" s="9"/>
      <c r="K29" s="9"/>
      <c r="L29" s="9"/>
      <c r="M29" s="9"/>
      <c r="N29" s="9"/>
      <c r="O29" s="9"/>
      <c r="P29" s="9"/>
      <c r="Q29" s="9"/>
      <c r="R29" s="9"/>
      <c r="S29" s="9"/>
      <c r="T29" s="9"/>
      <c r="U29" s="9"/>
      <c r="V29" s="9"/>
      <c r="W29" s="10"/>
      <c r="X29" s="10"/>
    </row>
    <row r="30" spans="1:24" x14ac:dyDescent="0.6">
      <c r="A30" s="9"/>
      <c r="B30" s="9"/>
      <c r="C30" s="9"/>
      <c r="D30" s="9"/>
      <c r="E30" s="9"/>
      <c r="F30" s="9"/>
      <c r="G30" s="9"/>
      <c r="H30" s="9"/>
      <c r="I30" s="9"/>
      <c r="J30" s="9"/>
      <c r="K30" s="9"/>
      <c r="L30" s="9"/>
      <c r="M30" s="9"/>
      <c r="N30" s="9"/>
      <c r="O30" s="9"/>
      <c r="P30" s="9"/>
      <c r="Q30" s="9"/>
      <c r="R30" s="9"/>
      <c r="S30" s="9"/>
      <c r="T30" s="9"/>
      <c r="U30" s="9"/>
      <c r="V30" s="9"/>
      <c r="W30" s="10"/>
      <c r="X30" s="10" t="s">
        <v>272</v>
      </c>
    </row>
    <row r="31" spans="1:24" x14ac:dyDescent="0.6">
      <c r="A31" s="9"/>
      <c r="B31" s="9"/>
      <c r="C31" s="9"/>
      <c r="D31" s="9"/>
      <c r="E31" s="9"/>
      <c r="F31" s="9"/>
      <c r="G31" s="9"/>
      <c r="H31" s="9"/>
      <c r="I31" s="9"/>
      <c r="J31" s="9"/>
      <c r="K31" s="9"/>
      <c r="L31" s="9"/>
      <c r="M31" s="9"/>
      <c r="N31" s="9"/>
      <c r="O31" s="9"/>
      <c r="P31" s="9"/>
      <c r="Q31" s="9"/>
      <c r="R31" s="9"/>
      <c r="S31" s="9"/>
      <c r="T31" s="9"/>
      <c r="U31" s="9"/>
      <c r="V31" s="9"/>
      <c r="W31" s="10"/>
      <c r="X31" s="10"/>
    </row>
    <row r="32" spans="1:24" x14ac:dyDescent="0.6">
      <c r="A32" s="9"/>
      <c r="B32" s="9"/>
      <c r="C32" s="9"/>
      <c r="D32" s="9"/>
      <c r="E32" s="9"/>
      <c r="F32" s="9"/>
      <c r="G32" s="9"/>
      <c r="H32" s="9"/>
      <c r="I32" s="9"/>
      <c r="J32" s="9"/>
      <c r="K32" s="9"/>
      <c r="L32" s="9"/>
      <c r="M32" s="9"/>
      <c r="N32" s="9"/>
      <c r="O32" s="9"/>
      <c r="P32" s="9"/>
      <c r="Q32" s="9"/>
      <c r="R32" s="9"/>
      <c r="S32" s="9"/>
      <c r="T32" s="9"/>
      <c r="U32" s="9"/>
      <c r="V32" s="9"/>
      <c r="W32" s="10"/>
      <c r="X32" s="10"/>
    </row>
    <row r="33" spans="1:24" x14ac:dyDescent="0.6">
      <c r="A33" s="9"/>
      <c r="B33" s="9"/>
      <c r="C33" s="9"/>
      <c r="D33" s="9"/>
      <c r="E33" s="9"/>
      <c r="F33" s="9"/>
      <c r="G33" s="9"/>
      <c r="H33" s="9"/>
      <c r="I33" s="9"/>
      <c r="J33" s="9"/>
      <c r="K33" s="9"/>
      <c r="L33" s="9"/>
      <c r="M33" s="9"/>
      <c r="N33" s="9"/>
      <c r="O33" s="9"/>
      <c r="P33" s="9"/>
      <c r="Q33" s="9"/>
      <c r="R33" s="9"/>
      <c r="S33" s="9"/>
      <c r="T33" s="9"/>
      <c r="U33" s="9"/>
      <c r="V33" s="9"/>
      <c r="W33" s="10"/>
      <c r="X33" s="10"/>
    </row>
    <row r="34" spans="1:24" x14ac:dyDescent="0.6">
      <c r="A34" s="9"/>
      <c r="B34" s="9"/>
      <c r="C34" s="9"/>
      <c r="D34" s="9"/>
      <c r="E34" s="9"/>
      <c r="F34" s="9"/>
      <c r="G34" s="9"/>
      <c r="H34" s="9"/>
      <c r="I34" s="9"/>
      <c r="J34" s="9"/>
      <c r="K34" s="9"/>
      <c r="L34" s="9"/>
      <c r="M34" s="9"/>
      <c r="N34" s="9"/>
      <c r="O34" s="9"/>
      <c r="P34" s="9"/>
      <c r="Q34" s="9"/>
      <c r="R34" s="9"/>
      <c r="S34" s="9"/>
      <c r="T34" s="9"/>
      <c r="U34" s="9"/>
      <c r="V34" s="9"/>
      <c r="W34" s="10"/>
      <c r="X34" s="10"/>
    </row>
    <row r="35" spans="1:24" x14ac:dyDescent="0.6">
      <c r="A35" s="9"/>
      <c r="B35" s="9"/>
      <c r="C35" s="9"/>
      <c r="D35" s="9"/>
      <c r="E35" s="9"/>
      <c r="F35" s="9"/>
      <c r="G35" s="9"/>
      <c r="H35" s="9"/>
      <c r="I35" s="9"/>
      <c r="J35" s="9"/>
      <c r="K35" s="9"/>
      <c r="L35" s="9"/>
      <c r="M35" s="9"/>
      <c r="N35" s="9"/>
      <c r="O35" s="9"/>
      <c r="P35" s="9"/>
      <c r="Q35" s="9"/>
      <c r="R35" s="9"/>
      <c r="S35" s="9"/>
      <c r="T35" s="9"/>
      <c r="U35" s="9"/>
      <c r="V35" s="9"/>
      <c r="W35" s="10"/>
      <c r="X35" s="10"/>
    </row>
    <row r="36" spans="1:24" x14ac:dyDescent="0.6">
      <c r="A36" s="9"/>
      <c r="B36" s="9"/>
      <c r="C36" s="9"/>
      <c r="D36" s="9"/>
      <c r="E36" s="9"/>
      <c r="F36" s="9"/>
      <c r="G36" s="9"/>
      <c r="H36" s="9"/>
      <c r="I36" s="9"/>
      <c r="J36" s="9"/>
      <c r="K36" s="9"/>
      <c r="L36" s="9"/>
      <c r="M36" s="9"/>
      <c r="N36" s="9"/>
      <c r="O36" s="9"/>
      <c r="P36" s="9"/>
      <c r="Q36" s="9"/>
      <c r="R36" s="9"/>
      <c r="S36" s="9"/>
      <c r="T36" s="9"/>
      <c r="U36" s="9"/>
      <c r="V36" s="9"/>
      <c r="W36" s="10"/>
      <c r="X36" s="10"/>
    </row>
    <row r="37" spans="1:24" x14ac:dyDescent="0.6">
      <c r="A37" s="9"/>
      <c r="B37" s="9"/>
      <c r="C37" s="9"/>
      <c r="D37" s="9"/>
      <c r="E37" s="9"/>
      <c r="F37" s="9"/>
      <c r="G37" s="9"/>
      <c r="H37" s="9"/>
      <c r="I37" s="9"/>
      <c r="J37" s="9"/>
      <c r="K37" s="9"/>
      <c r="L37" s="9"/>
      <c r="M37" s="9"/>
      <c r="N37" s="9"/>
      <c r="O37" s="9"/>
      <c r="P37" s="9"/>
      <c r="Q37" s="9"/>
      <c r="R37" s="9"/>
      <c r="S37" s="9"/>
      <c r="T37" s="9"/>
      <c r="U37" s="9"/>
      <c r="V37" s="9"/>
      <c r="W37" s="10"/>
      <c r="X37" s="10"/>
    </row>
    <row r="38" spans="1:24" x14ac:dyDescent="0.6">
      <c r="A38" s="9"/>
      <c r="B38" s="9"/>
      <c r="C38" s="9"/>
      <c r="D38" s="9"/>
      <c r="E38" s="9"/>
      <c r="F38" s="9"/>
      <c r="G38" s="9"/>
      <c r="H38" s="9"/>
      <c r="I38" s="9"/>
      <c r="J38" s="9"/>
      <c r="K38" s="9"/>
      <c r="L38" s="9"/>
      <c r="M38" s="9"/>
      <c r="N38" s="9"/>
      <c r="O38" s="9"/>
      <c r="P38" s="9"/>
      <c r="Q38" s="9"/>
      <c r="R38" s="9"/>
      <c r="S38" s="9"/>
      <c r="T38" s="9"/>
      <c r="U38" s="9"/>
      <c r="V38" s="9"/>
      <c r="W38" s="10"/>
      <c r="X38" s="10"/>
    </row>
    <row r="39" spans="1:24" x14ac:dyDescent="0.6">
      <c r="A39" s="9"/>
      <c r="B39" s="9"/>
      <c r="C39" s="9"/>
      <c r="D39" s="9"/>
      <c r="E39" s="9"/>
      <c r="F39" s="9"/>
      <c r="G39" s="9"/>
      <c r="H39" s="9"/>
      <c r="I39" s="9"/>
      <c r="J39" s="9"/>
      <c r="K39" s="9"/>
      <c r="L39" s="9"/>
      <c r="M39" s="9"/>
      <c r="N39" s="9"/>
      <c r="O39" s="9"/>
      <c r="P39" s="9"/>
      <c r="Q39" s="9"/>
      <c r="R39" s="9"/>
      <c r="S39" s="9"/>
      <c r="T39" s="9"/>
      <c r="U39" s="9"/>
      <c r="V39" s="9"/>
      <c r="W39" s="10"/>
      <c r="X39" s="10"/>
    </row>
    <row r="40" spans="1:24" x14ac:dyDescent="0.6">
      <c r="A40" s="9"/>
      <c r="B40" s="9"/>
      <c r="C40" s="9"/>
      <c r="D40" s="9"/>
      <c r="E40" s="9"/>
      <c r="F40" s="9"/>
      <c r="G40" s="9"/>
      <c r="H40" s="9"/>
      <c r="I40" s="9"/>
      <c r="J40" s="9"/>
      <c r="K40" s="9"/>
      <c r="L40" s="9"/>
      <c r="M40" s="9"/>
      <c r="N40" s="9"/>
      <c r="O40" s="9"/>
      <c r="P40" s="9"/>
      <c r="Q40" s="9"/>
      <c r="R40" s="9"/>
      <c r="S40" s="9"/>
      <c r="T40" s="9"/>
      <c r="U40" s="9"/>
      <c r="V40" s="9"/>
      <c r="W40" s="10"/>
      <c r="X40" s="10"/>
    </row>
    <row r="41" spans="1:24" x14ac:dyDescent="0.6">
      <c r="A41" s="9"/>
      <c r="B41" s="9"/>
      <c r="C41" s="9"/>
      <c r="D41" s="9"/>
      <c r="E41" s="9"/>
      <c r="F41" s="9"/>
      <c r="G41" s="9"/>
      <c r="H41" s="9"/>
      <c r="I41" s="9"/>
      <c r="J41" s="9"/>
      <c r="K41" s="9"/>
      <c r="L41" s="9"/>
      <c r="M41" s="9"/>
      <c r="N41" s="9"/>
      <c r="O41" s="9"/>
      <c r="P41" s="9"/>
      <c r="Q41" s="9"/>
      <c r="R41" s="9"/>
      <c r="S41" s="9"/>
      <c r="T41" s="9"/>
      <c r="U41" s="9"/>
      <c r="V41" s="9"/>
      <c r="W41" s="10"/>
      <c r="X41" s="10"/>
    </row>
    <row r="42" spans="1:24" x14ac:dyDescent="0.6">
      <c r="A42" s="9"/>
      <c r="B42" s="9"/>
      <c r="C42" s="9"/>
      <c r="D42" s="9"/>
      <c r="E42" s="9"/>
      <c r="F42" s="9"/>
      <c r="G42" s="9"/>
      <c r="H42" s="9"/>
      <c r="I42" s="9"/>
      <c r="J42" s="9"/>
      <c r="K42" s="9"/>
      <c r="L42" s="9"/>
      <c r="M42" s="9"/>
      <c r="N42" s="9"/>
      <c r="O42" s="9"/>
      <c r="P42" s="9"/>
      <c r="Q42" s="9"/>
      <c r="R42" s="9"/>
      <c r="S42" s="9"/>
      <c r="T42" s="9"/>
      <c r="U42" s="9"/>
      <c r="V42" s="9"/>
      <c r="W42" s="10"/>
      <c r="X42"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F2" sqref="F2"/>
    </sheetView>
  </sheetViews>
  <sheetFormatPr defaultRowHeight="26" x14ac:dyDescent="0.6"/>
  <cols>
    <col min="1" max="1" width="11.296875" customWidth="1"/>
    <col min="2" max="2" width="17.3984375" bestFit="1" customWidth="1"/>
  </cols>
  <sheetData>
    <row r="3" spans="1:2" x14ac:dyDescent="0.6">
      <c r="A3" s="5" t="s">
        <v>268</v>
      </c>
      <c r="B3" t="s">
        <v>271</v>
      </c>
    </row>
    <row r="4" spans="1:2" x14ac:dyDescent="0.6">
      <c r="A4" s="6" t="s">
        <v>12</v>
      </c>
      <c r="B4" s="7">
        <v>401200</v>
      </c>
    </row>
    <row r="5" spans="1:2" x14ac:dyDescent="0.6">
      <c r="A5" s="6" t="s">
        <v>39</v>
      </c>
      <c r="B5" s="7">
        <v>75100</v>
      </c>
    </row>
    <row r="6" spans="1:2" x14ac:dyDescent="0.6">
      <c r="A6" s="6" t="s">
        <v>19</v>
      </c>
      <c r="B6" s="7">
        <v>229600</v>
      </c>
    </row>
    <row r="7" spans="1:2" x14ac:dyDescent="0.6">
      <c r="A7" s="6" t="s">
        <v>24</v>
      </c>
      <c r="B7" s="7">
        <v>371300</v>
      </c>
    </row>
    <row r="8" spans="1:2" x14ac:dyDescent="0.6">
      <c r="A8" s="6" t="s">
        <v>29</v>
      </c>
      <c r="B8" s="7">
        <v>74400</v>
      </c>
    </row>
    <row r="9" spans="1:2" x14ac:dyDescent="0.6">
      <c r="A9" s="6" t="s">
        <v>269</v>
      </c>
      <c r="B9" s="7">
        <v>1151600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H5" sqref="H5"/>
    </sheetView>
  </sheetViews>
  <sheetFormatPr defaultRowHeight="26" x14ac:dyDescent="0.6"/>
  <cols>
    <col min="1" max="1" width="11.296875" bestFit="1" customWidth="1"/>
    <col min="2" max="2" width="17.1484375" customWidth="1"/>
  </cols>
  <sheetData>
    <row r="3" spans="1:2" x14ac:dyDescent="0.6">
      <c r="A3" s="5" t="s">
        <v>268</v>
      </c>
      <c r="B3" t="s">
        <v>270</v>
      </c>
    </row>
    <row r="4" spans="1:2" x14ac:dyDescent="0.6">
      <c r="A4" s="6" t="s">
        <v>34</v>
      </c>
      <c r="B4" s="7">
        <v>21</v>
      </c>
    </row>
    <row r="5" spans="1:2" x14ac:dyDescent="0.6">
      <c r="A5" s="6" t="s">
        <v>26</v>
      </c>
      <c r="B5" s="7">
        <v>22</v>
      </c>
    </row>
    <row r="6" spans="1:2" x14ac:dyDescent="0.6">
      <c r="A6" s="6" t="s">
        <v>14</v>
      </c>
      <c r="B6" s="7">
        <v>82</v>
      </c>
    </row>
    <row r="7" spans="1:2" x14ac:dyDescent="0.6">
      <c r="A7" s="6" t="s">
        <v>269</v>
      </c>
      <c r="B7" s="7">
        <v>125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H4" sqref="H4"/>
    </sheetView>
  </sheetViews>
  <sheetFormatPr defaultRowHeight="26" x14ac:dyDescent="0.6"/>
  <cols>
    <col min="1" max="1" width="11.296875" bestFit="1" customWidth="1"/>
    <col min="2" max="2" width="17.3984375" bestFit="1" customWidth="1"/>
  </cols>
  <sheetData>
    <row r="3" spans="1:2" x14ac:dyDescent="0.6">
      <c r="A3" s="5" t="s">
        <v>268</v>
      </c>
      <c r="B3" t="s">
        <v>271</v>
      </c>
    </row>
    <row r="4" spans="1:2" x14ac:dyDescent="0.6">
      <c r="A4" s="6" t="s">
        <v>21</v>
      </c>
      <c r="B4" s="7">
        <v>381300</v>
      </c>
    </row>
    <row r="5" spans="1:2" x14ac:dyDescent="0.6">
      <c r="A5" s="6" t="s">
        <v>15</v>
      </c>
      <c r="B5" s="7">
        <v>625000</v>
      </c>
    </row>
    <row r="6" spans="1:2" x14ac:dyDescent="0.6">
      <c r="A6" s="6" t="s">
        <v>31</v>
      </c>
      <c r="B6" s="7">
        <v>145300</v>
      </c>
    </row>
    <row r="7" spans="1:2" x14ac:dyDescent="0.6">
      <c r="A7" s="6" t="s">
        <v>269</v>
      </c>
      <c r="B7" s="7">
        <v>1151600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3" sqref="B3"/>
    </sheetView>
  </sheetViews>
  <sheetFormatPr defaultRowHeight="26" x14ac:dyDescent="0.6"/>
  <cols>
    <col min="1" max="1" width="11.296875" bestFit="1" customWidth="1"/>
    <col min="2" max="2" width="17.1484375" bestFit="1" customWidth="1"/>
  </cols>
  <sheetData>
    <row r="3" spans="1:2" x14ac:dyDescent="0.6">
      <c r="A3" s="5" t="s">
        <v>268</v>
      </c>
      <c r="B3" t="s">
        <v>270</v>
      </c>
    </row>
    <row r="4" spans="1:2" x14ac:dyDescent="0.6">
      <c r="A4" s="6" t="s">
        <v>273</v>
      </c>
      <c r="B4" s="7">
        <v>78</v>
      </c>
    </row>
    <row r="5" spans="1:2" x14ac:dyDescent="0.6">
      <c r="A5" s="6" t="s">
        <v>274</v>
      </c>
      <c r="B5" s="7">
        <v>47</v>
      </c>
    </row>
    <row r="6" spans="1:2" x14ac:dyDescent="0.6">
      <c r="A6" s="6" t="s">
        <v>269</v>
      </c>
      <c r="B6" s="7">
        <v>125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3" sqref="B3"/>
    </sheetView>
  </sheetViews>
  <sheetFormatPr defaultRowHeight="26" x14ac:dyDescent="0.6"/>
  <cols>
    <col min="1" max="1" width="11.296875" customWidth="1"/>
    <col min="2" max="2" width="17.3984375" bestFit="1" customWidth="1"/>
  </cols>
  <sheetData>
    <row r="3" spans="1:2" x14ac:dyDescent="0.6">
      <c r="A3" s="5" t="s">
        <v>268</v>
      </c>
      <c r="B3" t="s">
        <v>271</v>
      </c>
    </row>
    <row r="4" spans="1:2" x14ac:dyDescent="0.6">
      <c r="A4" s="6" t="s">
        <v>34</v>
      </c>
      <c r="B4" s="7">
        <v>439300</v>
      </c>
    </row>
    <row r="5" spans="1:2" x14ac:dyDescent="0.6">
      <c r="A5" s="6" t="s">
        <v>26</v>
      </c>
      <c r="B5" s="7">
        <v>305300</v>
      </c>
    </row>
    <row r="6" spans="1:2" x14ac:dyDescent="0.6">
      <c r="A6" s="6" t="s">
        <v>14</v>
      </c>
      <c r="B6" s="7">
        <v>407000</v>
      </c>
    </row>
    <row r="7" spans="1:2" x14ac:dyDescent="0.6">
      <c r="A7" s="6" t="s">
        <v>269</v>
      </c>
      <c r="B7" s="7">
        <v>1151600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26" x14ac:dyDescent="0.6"/>
  <sheetData>
    <row r="3" spans="1:3" x14ac:dyDescent="0.6">
      <c r="A3" s="11"/>
      <c r="B3" s="12"/>
      <c r="C3" s="13"/>
    </row>
    <row r="4" spans="1:3" x14ac:dyDescent="0.6">
      <c r="A4" s="14"/>
      <c r="B4" s="15"/>
      <c r="C4" s="16"/>
    </row>
    <row r="5" spans="1:3" x14ac:dyDescent="0.6">
      <c r="A5" s="14"/>
      <c r="B5" s="15"/>
      <c r="C5" s="16"/>
    </row>
    <row r="6" spans="1:3" x14ac:dyDescent="0.6">
      <c r="A6" s="14"/>
      <c r="B6" s="15"/>
      <c r="C6" s="16"/>
    </row>
    <row r="7" spans="1:3" x14ac:dyDescent="0.6">
      <c r="A7" s="14"/>
      <c r="B7" s="15"/>
      <c r="C7" s="16"/>
    </row>
    <row r="8" spans="1:3" x14ac:dyDescent="0.6">
      <c r="A8" s="14"/>
      <c r="B8" s="15"/>
      <c r="C8" s="16"/>
    </row>
    <row r="9" spans="1:3" x14ac:dyDescent="0.6">
      <c r="A9" s="14"/>
      <c r="B9" s="15"/>
      <c r="C9" s="16"/>
    </row>
    <row r="10" spans="1:3" x14ac:dyDescent="0.6">
      <c r="A10" s="14"/>
      <c r="B10" s="15"/>
      <c r="C10" s="16"/>
    </row>
    <row r="11" spans="1:3" x14ac:dyDescent="0.6">
      <c r="A11" s="14"/>
      <c r="B11" s="15"/>
      <c r="C11" s="16"/>
    </row>
    <row r="12" spans="1:3" x14ac:dyDescent="0.6">
      <c r="A12" s="14"/>
      <c r="B12" s="15"/>
      <c r="C12" s="16"/>
    </row>
    <row r="13" spans="1:3" x14ac:dyDescent="0.6">
      <c r="A13" s="14"/>
      <c r="B13" s="15"/>
      <c r="C13" s="16"/>
    </row>
    <row r="14" spans="1:3" x14ac:dyDescent="0.6">
      <c r="A14" s="14"/>
      <c r="B14" s="15"/>
      <c r="C14" s="16"/>
    </row>
    <row r="15" spans="1:3" x14ac:dyDescent="0.6">
      <c r="A15" s="14"/>
      <c r="B15" s="15"/>
      <c r="C15" s="16"/>
    </row>
    <row r="16" spans="1:3" x14ac:dyDescent="0.6">
      <c r="A16" s="14"/>
      <c r="B16" s="15"/>
      <c r="C16" s="16"/>
    </row>
    <row r="17" spans="1:3" x14ac:dyDescent="0.6">
      <c r="A17" s="14"/>
      <c r="B17" s="15"/>
      <c r="C17" s="16"/>
    </row>
    <row r="18" spans="1:3" x14ac:dyDescent="0.6">
      <c r="A18" s="14"/>
      <c r="B18" s="15"/>
      <c r="C18" s="16"/>
    </row>
    <row r="19" spans="1:3" x14ac:dyDescent="0.6">
      <c r="A19" s="14"/>
      <c r="B19" s="15"/>
      <c r="C19" s="16"/>
    </row>
    <row r="20" spans="1:3" x14ac:dyDescent="0.6">
      <c r="A20" s="17"/>
      <c r="B20" s="18"/>
      <c r="C20" s="1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6"/>
  <sheetViews>
    <sheetView zoomScale="50" zoomScaleNormal="50" workbookViewId="0">
      <selection sqref="A1:J126"/>
    </sheetView>
  </sheetViews>
  <sheetFormatPr defaultRowHeight="26" x14ac:dyDescent="0.6"/>
  <cols>
    <col min="1" max="1" width="12.3984375" bestFit="1" customWidth="1"/>
    <col min="2" max="2" width="15.8984375" bestFit="1" customWidth="1"/>
    <col min="5" max="5" width="11.94921875" bestFit="1" customWidth="1"/>
    <col min="6" max="6" width="8.8984375" bestFit="1" customWidth="1"/>
    <col min="7" max="7" width="10.34765625" bestFit="1" customWidth="1"/>
    <col min="8" max="8" width="17.44921875" bestFit="1" customWidth="1"/>
    <col min="9" max="9" width="10.25" bestFit="1" customWidth="1"/>
    <col min="10" max="10" width="12.25" bestFit="1" customWidth="1"/>
  </cols>
  <sheetData>
    <row r="1" spans="1:10" ht="28.5" x14ac:dyDescent="0.65">
      <c r="A1" s="1" t="s">
        <v>0</v>
      </c>
      <c r="B1" s="1" t="s">
        <v>1</v>
      </c>
      <c r="C1" s="1" t="s">
        <v>2</v>
      </c>
      <c r="D1" s="1" t="s">
        <v>3</v>
      </c>
      <c r="E1" s="1" t="s">
        <v>4</v>
      </c>
      <c r="F1" s="1" t="s">
        <v>5</v>
      </c>
      <c r="G1" s="1" t="s">
        <v>6</v>
      </c>
      <c r="H1" s="1" t="s">
        <v>7</v>
      </c>
      <c r="I1" s="1" t="s">
        <v>8</v>
      </c>
      <c r="J1" s="1" t="s">
        <v>9</v>
      </c>
    </row>
    <row r="2" spans="1:10" x14ac:dyDescent="0.6">
      <c r="A2" s="2" t="s">
        <v>267</v>
      </c>
      <c r="B2" s="2" t="s">
        <v>10</v>
      </c>
      <c r="C2" s="2">
        <v>25</v>
      </c>
      <c r="D2" s="2" t="s">
        <v>11</v>
      </c>
      <c r="E2" s="2" t="s">
        <v>12</v>
      </c>
      <c r="F2" s="2" t="s">
        <v>13</v>
      </c>
      <c r="G2" s="2" t="s">
        <v>14</v>
      </c>
      <c r="H2" s="2" t="s">
        <v>15</v>
      </c>
      <c r="I2" s="3">
        <v>46266</v>
      </c>
      <c r="J2" s="2">
        <v>5000</v>
      </c>
    </row>
    <row r="3" spans="1:10" x14ac:dyDescent="0.6">
      <c r="A3" s="2" t="s">
        <v>16</v>
      </c>
      <c r="B3" s="2" t="s">
        <v>17</v>
      </c>
      <c r="C3" s="2">
        <v>32</v>
      </c>
      <c r="D3" s="2" t="s">
        <v>18</v>
      </c>
      <c r="E3" s="2" t="s">
        <v>19</v>
      </c>
      <c r="F3" s="2" t="s">
        <v>20</v>
      </c>
      <c r="G3" s="2" t="s">
        <v>14</v>
      </c>
      <c r="H3" s="2" t="s">
        <v>21</v>
      </c>
      <c r="I3" s="3">
        <v>46266</v>
      </c>
      <c r="J3" s="2">
        <v>7500</v>
      </c>
    </row>
    <row r="4" spans="1:10" x14ac:dyDescent="0.6">
      <c r="A4" s="2" t="s">
        <v>22</v>
      </c>
      <c r="B4" s="2" t="s">
        <v>23</v>
      </c>
      <c r="C4" s="2">
        <v>45</v>
      </c>
      <c r="D4" s="2" t="s">
        <v>11</v>
      </c>
      <c r="E4" s="2" t="s">
        <v>24</v>
      </c>
      <c r="F4" s="2" t="s">
        <v>25</v>
      </c>
      <c r="G4" s="2" t="s">
        <v>26</v>
      </c>
      <c r="H4" s="2" t="s">
        <v>15</v>
      </c>
      <c r="I4" s="3">
        <v>46267</v>
      </c>
      <c r="J4" s="2">
        <v>12000</v>
      </c>
    </row>
    <row r="5" spans="1:10" x14ac:dyDescent="0.6">
      <c r="A5" s="2" t="s">
        <v>27</v>
      </c>
      <c r="B5" s="2" t="s">
        <v>28</v>
      </c>
      <c r="C5" s="2">
        <v>28</v>
      </c>
      <c r="D5" s="2" t="s">
        <v>18</v>
      </c>
      <c r="E5" s="2" t="s">
        <v>29</v>
      </c>
      <c r="F5" s="2" t="s">
        <v>30</v>
      </c>
      <c r="G5" s="2" t="s">
        <v>14</v>
      </c>
      <c r="H5" s="2" t="s">
        <v>31</v>
      </c>
      <c r="I5" s="3">
        <v>46267</v>
      </c>
      <c r="J5" s="2">
        <v>4000</v>
      </c>
    </row>
    <row r="6" spans="1:10" x14ac:dyDescent="0.6">
      <c r="A6" s="2" t="s">
        <v>32</v>
      </c>
      <c r="B6" s="2" t="s">
        <v>33</v>
      </c>
      <c r="C6" s="2">
        <v>51</v>
      </c>
      <c r="D6" s="2" t="s">
        <v>11</v>
      </c>
      <c r="E6" s="2" t="s">
        <v>12</v>
      </c>
      <c r="F6" s="2" t="s">
        <v>13</v>
      </c>
      <c r="G6" s="2" t="s">
        <v>34</v>
      </c>
      <c r="H6" s="2" t="s">
        <v>21</v>
      </c>
      <c r="I6" s="3">
        <v>46268</v>
      </c>
      <c r="J6" s="2">
        <v>18000</v>
      </c>
    </row>
    <row r="7" spans="1:10" x14ac:dyDescent="0.6">
      <c r="A7" s="2" t="s">
        <v>35</v>
      </c>
      <c r="B7" s="2" t="s">
        <v>36</v>
      </c>
      <c r="C7" s="2">
        <v>36</v>
      </c>
      <c r="D7" s="2" t="s">
        <v>18</v>
      </c>
      <c r="E7" s="2" t="s">
        <v>19</v>
      </c>
      <c r="F7" s="2" t="s">
        <v>20</v>
      </c>
      <c r="G7" s="2" t="s">
        <v>14</v>
      </c>
      <c r="H7" s="2" t="s">
        <v>15</v>
      </c>
      <c r="I7" s="3">
        <v>46268</v>
      </c>
      <c r="J7" s="2">
        <v>6500</v>
      </c>
    </row>
    <row r="8" spans="1:10" x14ac:dyDescent="0.6">
      <c r="A8" s="2" t="s">
        <v>37</v>
      </c>
      <c r="B8" s="2" t="s">
        <v>38</v>
      </c>
      <c r="C8" s="2">
        <v>22</v>
      </c>
      <c r="D8" s="2" t="s">
        <v>11</v>
      </c>
      <c r="E8" s="2" t="s">
        <v>39</v>
      </c>
      <c r="F8" s="2" t="s">
        <v>40</v>
      </c>
      <c r="G8" s="2" t="s">
        <v>14</v>
      </c>
      <c r="H8" s="2" t="s">
        <v>31</v>
      </c>
      <c r="I8" s="3">
        <v>46269</v>
      </c>
      <c r="J8" s="2">
        <v>3500</v>
      </c>
    </row>
    <row r="9" spans="1:10" x14ac:dyDescent="0.6">
      <c r="A9" s="2" t="s">
        <v>41</v>
      </c>
      <c r="B9" s="2" t="s">
        <v>42</v>
      </c>
      <c r="C9" s="2">
        <v>41</v>
      </c>
      <c r="D9" s="2" t="s">
        <v>18</v>
      </c>
      <c r="E9" s="2" t="s">
        <v>24</v>
      </c>
      <c r="F9" s="2" t="s">
        <v>25</v>
      </c>
      <c r="G9" s="2" t="s">
        <v>26</v>
      </c>
      <c r="H9" s="2" t="s">
        <v>15</v>
      </c>
      <c r="I9" s="3">
        <v>46269</v>
      </c>
      <c r="J9" s="2">
        <v>11000</v>
      </c>
    </row>
    <row r="10" spans="1:10" x14ac:dyDescent="0.6">
      <c r="A10" s="2" t="s">
        <v>43</v>
      </c>
      <c r="B10" s="2" t="s">
        <v>44</v>
      </c>
      <c r="C10" s="2">
        <v>60</v>
      </c>
      <c r="D10" s="2" t="s">
        <v>11</v>
      </c>
      <c r="E10" s="2" t="s">
        <v>12</v>
      </c>
      <c r="F10" s="2" t="s">
        <v>13</v>
      </c>
      <c r="G10" s="2" t="s">
        <v>34</v>
      </c>
      <c r="H10" s="2" t="s">
        <v>21</v>
      </c>
      <c r="I10" s="3">
        <v>46270</v>
      </c>
      <c r="J10" s="2">
        <v>25000</v>
      </c>
    </row>
    <row r="11" spans="1:10" x14ac:dyDescent="0.6">
      <c r="A11" s="2" t="s">
        <v>45</v>
      </c>
      <c r="B11" s="2" t="s">
        <v>46</v>
      </c>
      <c r="C11" s="2">
        <v>30</v>
      </c>
      <c r="D11" s="2" t="s">
        <v>18</v>
      </c>
      <c r="E11" s="2" t="s">
        <v>29</v>
      </c>
      <c r="F11" s="2" t="s">
        <v>30</v>
      </c>
      <c r="G11" s="2" t="s">
        <v>14</v>
      </c>
      <c r="H11" s="2" t="s">
        <v>15</v>
      </c>
      <c r="I11" s="3">
        <v>46270</v>
      </c>
      <c r="J11" s="2">
        <v>4500</v>
      </c>
    </row>
    <row r="12" spans="1:10" x14ac:dyDescent="0.6">
      <c r="A12" s="2" t="s">
        <v>47</v>
      </c>
      <c r="B12" s="2" t="s">
        <v>48</v>
      </c>
      <c r="C12" s="2">
        <v>38</v>
      </c>
      <c r="D12" s="2" t="s">
        <v>11</v>
      </c>
      <c r="E12" s="2" t="s">
        <v>19</v>
      </c>
      <c r="F12" s="2" t="s">
        <v>20</v>
      </c>
      <c r="G12" s="2" t="s">
        <v>14</v>
      </c>
      <c r="H12" s="2" t="s">
        <v>31</v>
      </c>
      <c r="I12" s="3">
        <v>46271</v>
      </c>
      <c r="J12" s="2">
        <v>7000</v>
      </c>
    </row>
    <row r="13" spans="1:10" x14ac:dyDescent="0.6">
      <c r="A13" s="2" t="s">
        <v>49</v>
      </c>
      <c r="B13" s="2" t="s">
        <v>50</v>
      </c>
      <c r="C13" s="2">
        <v>26</v>
      </c>
      <c r="D13" s="2" t="s">
        <v>18</v>
      </c>
      <c r="E13" s="2" t="s">
        <v>39</v>
      </c>
      <c r="F13" s="2" t="s">
        <v>40</v>
      </c>
      <c r="G13" s="2" t="s">
        <v>14</v>
      </c>
      <c r="H13" s="2" t="s">
        <v>21</v>
      </c>
      <c r="I13" s="3">
        <v>46271</v>
      </c>
      <c r="J13" s="2">
        <v>3000</v>
      </c>
    </row>
    <row r="14" spans="1:10" x14ac:dyDescent="0.6">
      <c r="A14" s="2" t="s">
        <v>51</v>
      </c>
      <c r="B14" s="2" t="s">
        <v>52</v>
      </c>
      <c r="C14" s="2">
        <v>55</v>
      </c>
      <c r="D14" s="2" t="s">
        <v>11</v>
      </c>
      <c r="E14" s="2" t="s">
        <v>12</v>
      </c>
      <c r="F14" s="2" t="s">
        <v>13</v>
      </c>
      <c r="G14" s="2" t="s">
        <v>26</v>
      </c>
      <c r="H14" s="2" t="s">
        <v>15</v>
      </c>
      <c r="I14" s="3">
        <v>46272</v>
      </c>
      <c r="J14" s="2">
        <v>15000</v>
      </c>
    </row>
    <row r="15" spans="1:10" x14ac:dyDescent="0.6">
      <c r="A15" s="2" t="s">
        <v>53</v>
      </c>
      <c r="B15" s="2" t="s">
        <v>54</v>
      </c>
      <c r="C15" s="2">
        <v>19</v>
      </c>
      <c r="D15" s="2" t="s">
        <v>18</v>
      </c>
      <c r="E15" s="2" t="s">
        <v>29</v>
      </c>
      <c r="F15" s="2" t="s">
        <v>30</v>
      </c>
      <c r="G15" s="2" t="s">
        <v>14</v>
      </c>
      <c r="H15" s="2" t="s">
        <v>31</v>
      </c>
      <c r="I15" s="3">
        <v>46272</v>
      </c>
      <c r="J15" s="2">
        <v>2500</v>
      </c>
    </row>
    <row r="16" spans="1:10" x14ac:dyDescent="0.6">
      <c r="A16" s="2" t="s">
        <v>55</v>
      </c>
      <c r="B16" s="2" t="s">
        <v>56</v>
      </c>
      <c r="C16" s="2">
        <v>48</v>
      </c>
      <c r="D16" s="2" t="s">
        <v>11</v>
      </c>
      <c r="E16" s="2" t="s">
        <v>24</v>
      </c>
      <c r="F16" s="2" t="s">
        <v>25</v>
      </c>
      <c r="G16" s="2" t="s">
        <v>34</v>
      </c>
      <c r="H16" s="2" t="s">
        <v>21</v>
      </c>
      <c r="I16" s="3">
        <v>46273</v>
      </c>
      <c r="J16" s="2">
        <v>20000</v>
      </c>
    </row>
    <row r="17" spans="1:10" x14ac:dyDescent="0.6">
      <c r="A17" s="2" t="s">
        <v>57</v>
      </c>
      <c r="B17" s="2" t="s">
        <v>58</v>
      </c>
      <c r="C17" s="2">
        <v>34</v>
      </c>
      <c r="D17" s="2" t="s">
        <v>18</v>
      </c>
      <c r="E17" s="2" t="s">
        <v>19</v>
      </c>
      <c r="F17" s="2" t="s">
        <v>20</v>
      </c>
      <c r="G17" s="2" t="s">
        <v>14</v>
      </c>
      <c r="H17" s="2" t="s">
        <v>15</v>
      </c>
      <c r="I17" s="3">
        <v>46273</v>
      </c>
      <c r="J17" s="2">
        <v>6000</v>
      </c>
    </row>
    <row r="18" spans="1:10" x14ac:dyDescent="0.6">
      <c r="A18" s="2" t="s">
        <v>59</v>
      </c>
      <c r="B18" s="2" t="s">
        <v>60</v>
      </c>
      <c r="C18" s="2">
        <v>29</v>
      </c>
      <c r="D18" s="2" t="s">
        <v>11</v>
      </c>
      <c r="E18" s="2" t="s">
        <v>39</v>
      </c>
      <c r="F18" s="2" t="s">
        <v>40</v>
      </c>
      <c r="G18" s="2" t="s">
        <v>14</v>
      </c>
      <c r="H18" s="2" t="s">
        <v>31</v>
      </c>
      <c r="I18" s="3">
        <v>46274</v>
      </c>
      <c r="J18" s="2">
        <v>3200</v>
      </c>
    </row>
    <row r="19" spans="1:10" x14ac:dyDescent="0.6">
      <c r="A19" s="2" t="s">
        <v>61</v>
      </c>
      <c r="B19" s="2" t="s">
        <v>62</v>
      </c>
      <c r="C19" s="2">
        <v>43</v>
      </c>
      <c r="D19" s="2" t="s">
        <v>18</v>
      </c>
      <c r="E19" s="2" t="s">
        <v>12</v>
      </c>
      <c r="F19" s="2" t="s">
        <v>13</v>
      </c>
      <c r="G19" s="2" t="s">
        <v>26</v>
      </c>
      <c r="H19" s="2" t="s">
        <v>15</v>
      </c>
      <c r="I19" s="3">
        <v>46274</v>
      </c>
      <c r="J19" s="2">
        <v>13500</v>
      </c>
    </row>
    <row r="20" spans="1:10" x14ac:dyDescent="0.6">
      <c r="A20" s="2" t="s">
        <v>63</v>
      </c>
      <c r="B20" s="2" t="s">
        <v>64</v>
      </c>
      <c r="C20" s="2">
        <v>52</v>
      </c>
      <c r="D20" s="2" t="s">
        <v>11</v>
      </c>
      <c r="E20" s="2" t="s">
        <v>24</v>
      </c>
      <c r="F20" s="2" t="s">
        <v>25</v>
      </c>
      <c r="G20" s="2" t="s">
        <v>14</v>
      </c>
      <c r="H20" s="2" t="s">
        <v>21</v>
      </c>
      <c r="I20" s="3">
        <v>46275</v>
      </c>
      <c r="J20" s="2">
        <v>8500</v>
      </c>
    </row>
    <row r="21" spans="1:10" x14ac:dyDescent="0.6">
      <c r="A21" s="2" t="s">
        <v>65</v>
      </c>
      <c r="B21" s="2" t="s">
        <v>66</v>
      </c>
      <c r="C21" s="2">
        <v>24</v>
      </c>
      <c r="D21" s="2" t="s">
        <v>18</v>
      </c>
      <c r="E21" s="2" t="s">
        <v>29</v>
      </c>
      <c r="F21" s="2" t="s">
        <v>30</v>
      </c>
      <c r="G21" s="2" t="s">
        <v>14</v>
      </c>
      <c r="H21" s="2" t="s">
        <v>31</v>
      </c>
      <c r="I21" s="3">
        <v>46275</v>
      </c>
      <c r="J21" s="2">
        <v>2800</v>
      </c>
    </row>
    <row r="22" spans="1:10" x14ac:dyDescent="0.6">
      <c r="A22" s="2" t="s">
        <v>67</v>
      </c>
      <c r="B22" s="2" t="s">
        <v>68</v>
      </c>
      <c r="C22" s="2">
        <v>39</v>
      </c>
      <c r="D22" s="2" t="s">
        <v>11</v>
      </c>
      <c r="E22" s="2" t="s">
        <v>19</v>
      </c>
      <c r="F22" s="2" t="s">
        <v>20</v>
      </c>
      <c r="G22" s="2" t="s">
        <v>34</v>
      </c>
      <c r="H22" s="2" t="s">
        <v>15</v>
      </c>
      <c r="I22" s="3">
        <v>46276</v>
      </c>
      <c r="J22" s="2">
        <v>17000</v>
      </c>
    </row>
    <row r="23" spans="1:10" x14ac:dyDescent="0.6">
      <c r="A23" s="2" t="s">
        <v>69</v>
      </c>
      <c r="B23" s="2" t="s">
        <v>70</v>
      </c>
      <c r="C23" s="2">
        <v>31</v>
      </c>
      <c r="D23" s="2" t="s">
        <v>18</v>
      </c>
      <c r="E23" s="2" t="s">
        <v>39</v>
      </c>
      <c r="F23" s="2" t="s">
        <v>40</v>
      </c>
      <c r="G23" s="2" t="s">
        <v>14</v>
      </c>
      <c r="H23" s="2" t="s">
        <v>21</v>
      </c>
      <c r="I23" s="3">
        <v>46276</v>
      </c>
      <c r="J23" s="2">
        <v>4000</v>
      </c>
    </row>
    <row r="24" spans="1:10" x14ac:dyDescent="0.6">
      <c r="A24" s="2" t="s">
        <v>71</v>
      </c>
      <c r="B24" s="2" t="s">
        <v>72</v>
      </c>
      <c r="C24" s="2">
        <v>47</v>
      </c>
      <c r="D24" s="2" t="s">
        <v>11</v>
      </c>
      <c r="E24" s="2" t="s">
        <v>12</v>
      </c>
      <c r="F24" s="2" t="s">
        <v>13</v>
      </c>
      <c r="G24" s="2" t="s">
        <v>14</v>
      </c>
      <c r="H24" s="2" t="s">
        <v>15</v>
      </c>
      <c r="I24" s="3">
        <v>46277</v>
      </c>
      <c r="J24" s="2">
        <v>8000</v>
      </c>
    </row>
    <row r="25" spans="1:10" x14ac:dyDescent="0.6">
      <c r="A25" s="2" t="s">
        <v>73</v>
      </c>
      <c r="B25" s="2" t="s">
        <v>74</v>
      </c>
      <c r="C25" s="2">
        <v>27</v>
      </c>
      <c r="D25" s="2" t="s">
        <v>18</v>
      </c>
      <c r="E25" s="2" t="s">
        <v>29</v>
      </c>
      <c r="F25" s="2" t="s">
        <v>30</v>
      </c>
      <c r="G25" s="2" t="s">
        <v>14</v>
      </c>
      <c r="H25" s="2" t="s">
        <v>31</v>
      </c>
      <c r="I25" s="3">
        <v>46277</v>
      </c>
      <c r="J25" s="2">
        <v>3500</v>
      </c>
    </row>
    <row r="26" spans="1:10" x14ac:dyDescent="0.6">
      <c r="A26" s="2" t="s">
        <v>75</v>
      </c>
      <c r="B26" s="2" t="s">
        <v>76</v>
      </c>
      <c r="C26" s="2">
        <v>58</v>
      </c>
      <c r="D26" s="2" t="s">
        <v>11</v>
      </c>
      <c r="E26" s="2" t="s">
        <v>24</v>
      </c>
      <c r="F26" s="2" t="s">
        <v>25</v>
      </c>
      <c r="G26" s="2" t="s">
        <v>26</v>
      </c>
      <c r="H26" s="3" t="s">
        <v>15</v>
      </c>
      <c r="I26" s="3">
        <v>46278</v>
      </c>
      <c r="J26" s="2">
        <v>14000</v>
      </c>
    </row>
    <row r="27" spans="1:10" x14ac:dyDescent="0.6">
      <c r="A27" s="2" t="s">
        <v>77</v>
      </c>
      <c r="B27" s="2" t="s">
        <v>78</v>
      </c>
      <c r="C27" s="2">
        <v>33</v>
      </c>
      <c r="D27" s="2" t="s">
        <v>11</v>
      </c>
      <c r="E27" s="2" t="s">
        <v>12</v>
      </c>
      <c r="F27" s="2" t="s">
        <v>13</v>
      </c>
      <c r="G27" s="2" t="s">
        <v>14</v>
      </c>
      <c r="H27" s="2" t="s">
        <v>15</v>
      </c>
      <c r="I27" s="3">
        <v>46278</v>
      </c>
      <c r="J27" s="2">
        <v>5500</v>
      </c>
    </row>
    <row r="28" spans="1:10" x14ac:dyDescent="0.6">
      <c r="A28" s="2" t="s">
        <v>79</v>
      </c>
      <c r="B28" s="2" t="s">
        <v>80</v>
      </c>
      <c r="C28" s="2">
        <v>29</v>
      </c>
      <c r="D28" s="2" t="s">
        <v>18</v>
      </c>
      <c r="E28" s="2" t="s">
        <v>19</v>
      </c>
      <c r="F28" s="2" t="s">
        <v>20</v>
      </c>
      <c r="G28" s="2" t="s">
        <v>14</v>
      </c>
      <c r="H28" s="2" t="s">
        <v>21</v>
      </c>
      <c r="I28" s="3">
        <v>46278</v>
      </c>
      <c r="J28" s="2">
        <v>6800</v>
      </c>
    </row>
    <row r="29" spans="1:10" x14ac:dyDescent="0.6">
      <c r="A29" s="2" t="s">
        <v>81</v>
      </c>
      <c r="B29" s="2" t="s">
        <v>82</v>
      </c>
      <c r="C29" s="2">
        <v>46</v>
      </c>
      <c r="D29" s="2" t="s">
        <v>11</v>
      </c>
      <c r="E29" s="2" t="s">
        <v>24</v>
      </c>
      <c r="F29" s="2" t="s">
        <v>25</v>
      </c>
      <c r="G29" s="2" t="s">
        <v>26</v>
      </c>
      <c r="H29" s="2" t="s">
        <v>15</v>
      </c>
      <c r="I29" s="3">
        <v>46279</v>
      </c>
      <c r="J29" s="2">
        <v>12500</v>
      </c>
    </row>
    <row r="30" spans="1:10" x14ac:dyDescent="0.6">
      <c r="A30" s="2" t="s">
        <v>83</v>
      </c>
      <c r="B30" s="2" t="s">
        <v>84</v>
      </c>
      <c r="C30" s="2">
        <v>23</v>
      </c>
      <c r="D30" s="2" t="s">
        <v>18</v>
      </c>
      <c r="E30" s="2" t="s">
        <v>29</v>
      </c>
      <c r="F30" s="2" t="s">
        <v>30</v>
      </c>
      <c r="G30" s="2" t="s">
        <v>14</v>
      </c>
      <c r="H30" s="2" t="s">
        <v>31</v>
      </c>
      <c r="I30" s="3">
        <v>46279</v>
      </c>
      <c r="J30" s="2">
        <v>3200</v>
      </c>
    </row>
    <row r="31" spans="1:10" x14ac:dyDescent="0.6">
      <c r="A31" s="2" t="s">
        <v>85</v>
      </c>
      <c r="B31" s="2" t="s">
        <v>86</v>
      </c>
      <c r="C31" s="2">
        <v>54</v>
      </c>
      <c r="D31" s="2" t="s">
        <v>11</v>
      </c>
      <c r="E31" s="2" t="s">
        <v>12</v>
      </c>
      <c r="F31" s="2" t="s">
        <v>13</v>
      </c>
      <c r="G31" s="2" t="s">
        <v>34</v>
      </c>
      <c r="H31" s="2" t="s">
        <v>21</v>
      </c>
      <c r="I31" s="3">
        <v>46279</v>
      </c>
      <c r="J31" s="2">
        <v>19500</v>
      </c>
    </row>
    <row r="32" spans="1:10" x14ac:dyDescent="0.6">
      <c r="A32" s="2" t="s">
        <v>87</v>
      </c>
      <c r="B32" s="2" t="s">
        <v>88</v>
      </c>
      <c r="C32" s="2">
        <v>37</v>
      </c>
      <c r="D32" s="2" t="s">
        <v>18</v>
      </c>
      <c r="E32" s="2" t="s">
        <v>19</v>
      </c>
      <c r="F32" s="2" t="s">
        <v>20</v>
      </c>
      <c r="G32" s="2" t="s">
        <v>14</v>
      </c>
      <c r="H32" s="2" t="s">
        <v>15</v>
      </c>
      <c r="I32" s="3">
        <v>46280</v>
      </c>
      <c r="J32" s="2">
        <v>6200</v>
      </c>
    </row>
    <row r="33" spans="1:10" x14ac:dyDescent="0.6">
      <c r="A33" s="2" t="s">
        <v>89</v>
      </c>
      <c r="B33" s="2" t="s">
        <v>90</v>
      </c>
      <c r="C33" s="2">
        <v>21</v>
      </c>
      <c r="D33" s="2" t="s">
        <v>11</v>
      </c>
      <c r="E33" s="2" t="s">
        <v>39</v>
      </c>
      <c r="F33" s="2" t="s">
        <v>40</v>
      </c>
      <c r="G33" s="2" t="s">
        <v>14</v>
      </c>
      <c r="H33" s="2" t="s">
        <v>31</v>
      </c>
      <c r="I33" s="3">
        <v>46280</v>
      </c>
      <c r="J33" s="2">
        <v>2800</v>
      </c>
    </row>
    <row r="34" spans="1:10" x14ac:dyDescent="0.6">
      <c r="A34" s="2" t="s">
        <v>91</v>
      </c>
      <c r="B34" s="2" t="s">
        <v>92</v>
      </c>
      <c r="C34" s="2">
        <v>44</v>
      </c>
      <c r="D34" s="2" t="s">
        <v>18</v>
      </c>
      <c r="E34" s="2" t="s">
        <v>24</v>
      </c>
      <c r="F34" s="2" t="s">
        <v>25</v>
      </c>
      <c r="G34" s="2" t="s">
        <v>26</v>
      </c>
      <c r="H34" s="2" t="s">
        <v>15</v>
      </c>
      <c r="I34" s="3">
        <v>46280</v>
      </c>
      <c r="J34" s="2">
        <v>11500</v>
      </c>
    </row>
    <row r="35" spans="1:10" x14ac:dyDescent="0.6">
      <c r="A35" s="2" t="s">
        <v>93</v>
      </c>
      <c r="B35" s="2" t="s">
        <v>94</v>
      </c>
      <c r="C35" s="2">
        <v>62</v>
      </c>
      <c r="D35" s="2" t="s">
        <v>11</v>
      </c>
      <c r="E35" s="2" t="s">
        <v>12</v>
      </c>
      <c r="F35" s="2" t="s">
        <v>13</v>
      </c>
      <c r="G35" s="2" t="s">
        <v>34</v>
      </c>
      <c r="H35" s="2" t="s">
        <v>21</v>
      </c>
      <c r="I35" s="3">
        <v>46281</v>
      </c>
      <c r="J35" s="2">
        <v>27000</v>
      </c>
    </row>
    <row r="36" spans="1:10" x14ac:dyDescent="0.6">
      <c r="A36" s="2" t="s">
        <v>95</v>
      </c>
      <c r="B36" s="2" t="s">
        <v>96</v>
      </c>
      <c r="C36" s="2">
        <v>35</v>
      </c>
      <c r="D36" s="2" t="s">
        <v>18</v>
      </c>
      <c r="E36" s="2" t="s">
        <v>29</v>
      </c>
      <c r="F36" s="2" t="s">
        <v>30</v>
      </c>
      <c r="G36" s="2" t="s">
        <v>14</v>
      </c>
      <c r="H36" s="2" t="s">
        <v>15</v>
      </c>
      <c r="I36" s="3">
        <v>46281</v>
      </c>
      <c r="J36" s="2">
        <v>4200</v>
      </c>
    </row>
    <row r="37" spans="1:10" x14ac:dyDescent="0.6">
      <c r="A37" s="2" t="s">
        <v>97</v>
      </c>
      <c r="B37" s="2" t="s">
        <v>98</v>
      </c>
      <c r="C37" s="2">
        <v>40</v>
      </c>
      <c r="D37" s="2" t="s">
        <v>11</v>
      </c>
      <c r="E37" s="2" t="s">
        <v>19</v>
      </c>
      <c r="F37" s="2" t="s">
        <v>20</v>
      </c>
      <c r="G37" s="2" t="s">
        <v>14</v>
      </c>
      <c r="H37" s="2" t="s">
        <v>31</v>
      </c>
      <c r="I37" s="3">
        <v>46281</v>
      </c>
      <c r="J37" s="2">
        <v>7200</v>
      </c>
    </row>
    <row r="38" spans="1:10" x14ac:dyDescent="0.6">
      <c r="A38" s="2" t="s">
        <v>99</v>
      </c>
      <c r="B38" s="2" t="s">
        <v>100</v>
      </c>
      <c r="C38" s="2">
        <v>27</v>
      </c>
      <c r="D38" s="2" t="s">
        <v>18</v>
      </c>
      <c r="E38" s="2" t="s">
        <v>39</v>
      </c>
      <c r="F38" s="2" t="s">
        <v>40</v>
      </c>
      <c r="G38" s="2" t="s">
        <v>14</v>
      </c>
      <c r="H38" s="2" t="s">
        <v>21</v>
      </c>
      <c r="I38" s="3">
        <v>46282</v>
      </c>
      <c r="J38" s="2">
        <v>3300</v>
      </c>
    </row>
    <row r="39" spans="1:10" x14ac:dyDescent="0.6">
      <c r="A39" s="2" t="s">
        <v>101</v>
      </c>
      <c r="B39" s="2" t="s">
        <v>102</v>
      </c>
      <c r="C39" s="2">
        <v>57</v>
      </c>
      <c r="D39" s="2" t="s">
        <v>11</v>
      </c>
      <c r="E39" s="2" t="s">
        <v>12</v>
      </c>
      <c r="F39" s="2" t="s">
        <v>13</v>
      </c>
      <c r="G39" s="2" t="s">
        <v>26</v>
      </c>
      <c r="H39" s="2" t="s">
        <v>15</v>
      </c>
      <c r="I39" s="3">
        <v>46282</v>
      </c>
      <c r="J39" s="2">
        <v>16000</v>
      </c>
    </row>
    <row r="40" spans="1:10" x14ac:dyDescent="0.6">
      <c r="A40" s="2" t="s">
        <v>103</v>
      </c>
      <c r="B40" s="2" t="s">
        <v>104</v>
      </c>
      <c r="C40" s="2">
        <v>20</v>
      </c>
      <c r="D40" s="2" t="s">
        <v>18</v>
      </c>
      <c r="E40" s="2" t="s">
        <v>29</v>
      </c>
      <c r="F40" s="2" t="s">
        <v>30</v>
      </c>
      <c r="G40" s="2" t="s">
        <v>14</v>
      </c>
      <c r="H40" s="2" t="s">
        <v>31</v>
      </c>
      <c r="I40" s="3">
        <v>46282</v>
      </c>
      <c r="J40" s="2">
        <v>2600</v>
      </c>
    </row>
    <row r="41" spans="1:10" x14ac:dyDescent="0.6">
      <c r="A41" s="2" t="s">
        <v>105</v>
      </c>
      <c r="B41" s="2" t="s">
        <v>106</v>
      </c>
      <c r="C41" s="2">
        <v>49</v>
      </c>
      <c r="D41" s="2" t="s">
        <v>11</v>
      </c>
      <c r="E41" s="2" t="s">
        <v>24</v>
      </c>
      <c r="F41" s="2" t="s">
        <v>25</v>
      </c>
      <c r="G41" s="2" t="s">
        <v>34</v>
      </c>
      <c r="H41" s="2" t="s">
        <v>21</v>
      </c>
      <c r="I41" s="3">
        <v>46283</v>
      </c>
      <c r="J41" s="2">
        <v>21000</v>
      </c>
    </row>
    <row r="42" spans="1:10" x14ac:dyDescent="0.6">
      <c r="A42" s="2" t="s">
        <v>107</v>
      </c>
      <c r="B42" s="2" t="s">
        <v>108</v>
      </c>
      <c r="C42" s="2">
        <v>32</v>
      </c>
      <c r="D42" s="2" t="s">
        <v>18</v>
      </c>
      <c r="E42" s="2" t="s">
        <v>19</v>
      </c>
      <c r="F42" s="2" t="s">
        <v>20</v>
      </c>
      <c r="G42" s="2" t="s">
        <v>14</v>
      </c>
      <c r="H42" s="2" t="s">
        <v>15</v>
      </c>
      <c r="I42" s="3">
        <v>46283</v>
      </c>
      <c r="J42" s="2">
        <v>5800</v>
      </c>
    </row>
    <row r="43" spans="1:10" x14ac:dyDescent="0.6">
      <c r="A43" s="2" t="s">
        <v>109</v>
      </c>
      <c r="B43" s="2" t="s">
        <v>110</v>
      </c>
      <c r="C43" s="2">
        <v>30</v>
      </c>
      <c r="D43" s="2" t="s">
        <v>11</v>
      </c>
      <c r="E43" s="2" t="s">
        <v>39</v>
      </c>
      <c r="F43" s="2" t="s">
        <v>40</v>
      </c>
      <c r="G43" s="2" t="s">
        <v>14</v>
      </c>
      <c r="H43" s="2" t="s">
        <v>31</v>
      </c>
      <c r="I43" s="3">
        <v>46283</v>
      </c>
      <c r="J43" s="2">
        <v>3100</v>
      </c>
    </row>
    <row r="44" spans="1:10" x14ac:dyDescent="0.6">
      <c r="A44" s="2" t="s">
        <v>111</v>
      </c>
      <c r="B44" s="2" t="s">
        <v>112</v>
      </c>
      <c r="C44" s="2">
        <v>45</v>
      </c>
      <c r="D44" s="2" t="s">
        <v>18</v>
      </c>
      <c r="E44" s="2" t="s">
        <v>12</v>
      </c>
      <c r="F44" s="2" t="s">
        <v>13</v>
      </c>
      <c r="G44" s="2" t="s">
        <v>26</v>
      </c>
      <c r="H44" s="2" t="s">
        <v>15</v>
      </c>
      <c r="I44" s="3">
        <v>46284</v>
      </c>
      <c r="J44" s="2">
        <v>14500</v>
      </c>
    </row>
    <row r="45" spans="1:10" x14ac:dyDescent="0.6">
      <c r="A45" s="2" t="s">
        <v>113</v>
      </c>
      <c r="B45" s="2" t="s">
        <v>114</v>
      </c>
      <c r="C45" s="2">
        <v>53</v>
      </c>
      <c r="D45" s="2" t="s">
        <v>11</v>
      </c>
      <c r="E45" s="2" t="s">
        <v>24</v>
      </c>
      <c r="F45" s="2" t="s">
        <v>25</v>
      </c>
      <c r="G45" s="2" t="s">
        <v>14</v>
      </c>
      <c r="H45" s="2" t="s">
        <v>21</v>
      </c>
      <c r="I45" s="3">
        <v>46284</v>
      </c>
      <c r="J45" s="2">
        <v>9000</v>
      </c>
    </row>
    <row r="46" spans="1:10" x14ac:dyDescent="0.6">
      <c r="A46" s="2" t="s">
        <v>115</v>
      </c>
      <c r="B46" s="2" t="s">
        <v>116</v>
      </c>
      <c r="C46" s="2">
        <v>25</v>
      </c>
      <c r="D46" s="2" t="s">
        <v>18</v>
      </c>
      <c r="E46" s="2" t="s">
        <v>29</v>
      </c>
      <c r="F46" s="2" t="s">
        <v>30</v>
      </c>
      <c r="G46" s="2" t="s">
        <v>14</v>
      </c>
      <c r="H46" s="2" t="s">
        <v>31</v>
      </c>
      <c r="I46" s="3">
        <v>46284</v>
      </c>
      <c r="J46" s="2">
        <v>2900</v>
      </c>
    </row>
    <row r="47" spans="1:10" x14ac:dyDescent="0.6">
      <c r="A47" s="2" t="s">
        <v>117</v>
      </c>
      <c r="B47" s="2" t="s">
        <v>118</v>
      </c>
      <c r="C47" s="2">
        <v>42</v>
      </c>
      <c r="D47" s="2" t="s">
        <v>11</v>
      </c>
      <c r="E47" s="2" t="s">
        <v>19</v>
      </c>
      <c r="F47" s="2" t="s">
        <v>20</v>
      </c>
      <c r="G47" s="2" t="s">
        <v>34</v>
      </c>
      <c r="H47" s="2" t="s">
        <v>15</v>
      </c>
      <c r="I47" s="3">
        <v>46285</v>
      </c>
      <c r="J47" s="2">
        <v>17500</v>
      </c>
    </row>
    <row r="48" spans="1:10" x14ac:dyDescent="0.6">
      <c r="A48" s="2" t="s">
        <v>119</v>
      </c>
      <c r="B48" s="2" t="s">
        <v>120</v>
      </c>
      <c r="C48" s="2">
        <v>38</v>
      </c>
      <c r="D48" s="2" t="s">
        <v>18</v>
      </c>
      <c r="E48" s="2" t="s">
        <v>39</v>
      </c>
      <c r="F48" s="2" t="s">
        <v>40</v>
      </c>
      <c r="G48" s="2" t="s">
        <v>14</v>
      </c>
      <c r="H48" s="2" t="s">
        <v>21</v>
      </c>
      <c r="I48" s="3">
        <v>46285</v>
      </c>
      <c r="J48" s="2">
        <v>3700</v>
      </c>
    </row>
    <row r="49" spans="1:10" x14ac:dyDescent="0.6">
      <c r="A49" s="2" t="s">
        <v>121</v>
      </c>
      <c r="B49" s="2" t="s">
        <v>122</v>
      </c>
      <c r="C49" s="2">
        <v>35</v>
      </c>
      <c r="D49" s="2" t="s">
        <v>11</v>
      </c>
      <c r="E49" s="2" t="s">
        <v>12</v>
      </c>
      <c r="F49" s="2" t="s">
        <v>13</v>
      </c>
      <c r="G49" s="2" t="s">
        <v>14</v>
      </c>
      <c r="H49" s="2" t="s">
        <v>15</v>
      </c>
      <c r="I49" s="3">
        <v>46285</v>
      </c>
      <c r="J49" s="2">
        <v>7800</v>
      </c>
    </row>
    <row r="50" spans="1:10" x14ac:dyDescent="0.6">
      <c r="A50" s="2" t="s">
        <v>123</v>
      </c>
      <c r="B50" s="2" t="s">
        <v>124</v>
      </c>
      <c r="C50" s="2">
        <v>22</v>
      </c>
      <c r="D50" s="2" t="s">
        <v>18</v>
      </c>
      <c r="E50" s="2" t="s">
        <v>29</v>
      </c>
      <c r="F50" s="2" t="s">
        <v>30</v>
      </c>
      <c r="G50" s="2" t="s">
        <v>14</v>
      </c>
      <c r="H50" s="2" t="s">
        <v>31</v>
      </c>
      <c r="I50" s="3">
        <v>46286</v>
      </c>
      <c r="J50" s="2">
        <v>3100</v>
      </c>
    </row>
    <row r="51" spans="1:10" x14ac:dyDescent="0.6">
      <c r="A51" s="2" t="s">
        <v>125</v>
      </c>
      <c r="B51" s="2" t="s">
        <v>126</v>
      </c>
      <c r="C51" s="2">
        <v>59</v>
      </c>
      <c r="D51" s="2" t="s">
        <v>11</v>
      </c>
      <c r="E51" s="2" t="s">
        <v>24</v>
      </c>
      <c r="F51" s="2" t="s">
        <v>265</v>
      </c>
      <c r="G51" s="2" t="s">
        <v>26</v>
      </c>
      <c r="H51" s="3" t="s">
        <v>15</v>
      </c>
      <c r="I51" s="3">
        <v>46286</v>
      </c>
      <c r="J51" s="2">
        <v>13500</v>
      </c>
    </row>
    <row r="52" spans="1:10" x14ac:dyDescent="0.6">
      <c r="A52" s="2" t="s">
        <v>127</v>
      </c>
      <c r="B52" s="2" t="s">
        <v>128</v>
      </c>
      <c r="C52" s="2">
        <v>47</v>
      </c>
      <c r="D52" s="2" t="s">
        <v>11</v>
      </c>
      <c r="E52" s="2" t="s">
        <v>12</v>
      </c>
      <c r="F52" s="2" t="s">
        <v>13</v>
      </c>
      <c r="G52" s="2" t="s">
        <v>14</v>
      </c>
      <c r="H52" s="2" t="s">
        <v>21</v>
      </c>
      <c r="I52" s="3">
        <v>46286</v>
      </c>
      <c r="J52" s="2">
        <v>6500</v>
      </c>
    </row>
    <row r="53" spans="1:10" x14ac:dyDescent="0.6">
      <c r="A53" s="2" t="s">
        <v>129</v>
      </c>
      <c r="B53" s="2" t="s">
        <v>130</v>
      </c>
      <c r="C53" s="2">
        <v>28</v>
      </c>
      <c r="D53" s="2" t="s">
        <v>18</v>
      </c>
      <c r="E53" s="2" t="s">
        <v>19</v>
      </c>
      <c r="F53" s="2" t="s">
        <v>20</v>
      </c>
      <c r="G53" s="2" t="s">
        <v>14</v>
      </c>
      <c r="H53" s="2" t="s">
        <v>15</v>
      </c>
      <c r="I53" s="3">
        <v>46287</v>
      </c>
      <c r="J53" s="2">
        <v>5900</v>
      </c>
    </row>
    <row r="54" spans="1:10" x14ac:dyDescent="0.6">
      <c r="A54" s="2" t="s">
        <v>131</v>
      </c>
      <c r="B54" s="2" t="s">
        <v>132</v>
      </c>
      <c r="C54" s="2">
        <v>36</v>
      </c>
      <c r="D54" s="2" t="s">
        <v>11</v>
      </c>
      <c r="E54" s="2" t="s">
        <v>39</v>
      </c>
      <c r="F54" s="2" t="s">
        <v>40</v>
      </c>
      <c r="G54" s="2" t="s">
        <v>14</v>
      </c>
      <c r="H54" s="2" t="s">
        <v>31</v>
      </c>
      <c r="I54" s="3">
        <v>46287</v>
      </c>
      <c r="J54" s="2">
        <v>3400</v>
      </c>
    </row>
    <row r="55" spans="1:10" x14ac:dyDescent="0.6">
      <c r="A55" s="2" t="s">
        <v>133</v>
      </c>
      <c r="B55" s="2" t="s">
        <v>134</v>
      </c>
      <c r="C55" s="2">
        <v>50</v>
      </c>
      <c r="D55" s="2" t="s">
        <v>18</v>
      </c>
      <c r="E55" s="2" t="s">
        <v>24</v>
      </c>
      <c r="F55" s="2" t="s">
        <v>25</v>
      </c>
      <c r="G55" s="2" t="s">
        <v>34</v>
      </c>
      <c r="H55" s="2" t="s">
        <v>21</v>
      </c>
      <c r="I55" s="3">
        <v>46287</v>
      </c>
      <c r="J55" s="2">
        <v>22000</v>
      </c>
    </row>
    <row r="56" spans="1:10" x14ac:dyDescent="0.6">
      <c r="A56" s="2" t="s">
        <v>135</v>
      </c>
      <c r="B56" s="2" t="s">
        <v>136</v>
      </c>
      <c r="C56" s="2">
        <v>31</v>
      </c>
      <c r="D56" s="2" t="s">
        <v>11</v>
      </c>
      <c r="E56" s="2" t="s">
        <v>12</v>
      </c>
      <c r="F56" s="2" t="s">
        <v>13</v>
      </c>
      <c r="G56" s="2" t="s">
        <v>26</v>
      </c>
      <c r="H56" s="2" t="s">
        <v>15</v>
      </c>
      <c r="I56" s="3">
        <v>46288</v>
      </c>
      <c r="J56" s="2">
        <v>15500</v>
      </c>
    </row>
    <row r="57" spans="1:10" x14ac:dyDescent="0.6">
      <c r="A57" s="2" t="s">
        <v>137</v>
      </c>
      <c r="B57" s="2" t="s">
        <v>138</v>
      </c>
      <c r="C57" s="2">
        <v>24</v>
      </c>
      <c r="D57" s="2" t="s">
        <v>18</v>
      </c>
      <c r="E57" s="2" t="s">
        <v>29</v>
      </c>
      <c r="F57" s="2" t="s">
        <v>30</v>
      </c>
      <c r="G57" s="2" t="s">
        <v>14</v>
      </c>
      <c r="H57" s="2" t="s">
        <v>31</v>
      </c>
      <c r="I57" s="3">
        <v>46288</v>
      </c>
      <c r="J57" s="2">
        <v>2700</v>
      </c>
    </row>
    <row r="58" spans="1:10" x14ac:dyDescent="0.6">
      <c r="A58" s="2" t="s">
        <v>139</v>
      </c>
      <c r="B58" s="2" t="s">
        <v>140</v>
      </c>
      <c r="C58" s="2">
        <v>43</v>
      </c>
      <c r="D58" s="2" t="s">
        <v>11</v>
      </c>
      <c r="E58" s="2" t="s">
        <v>19</v>
      </c>
      <c r="F58" s="2" t="s">
        <v>20</v>
      </c>
      <c r="G58" s="2" t="s">
        <v>14</v>
      </c>
      <c r="H58" s="2" t="s">
        <v>15</v>
      </c>
      <c r="I58" s="3">
        <v>46288</v>
      </c>
      <c r="J58" s="2">
        <v>7100</v>
      </c>
    </row>
    <row r="59" spans="1:10" x14ac:dyDescent="0.6">
      <c r="A59" s="2" t="s">
        <v>141</v>
      </c>
      <c r="B59" s="2" t="s">
        <v>142</v>
      </c>
      <c r="C59" s="2">
        <v>39</v>
      </c>
      <c r="D59" s="2" t="s">
        <v>18</v>
      </c>
      <c r="E59" s="2" t="s">
        <v>39</v>
      </c>
      <c r="F59" s="2" t="s">
        <v>40</v>
      </c>
      <c r="G59" s="2" t="s">
        <v>14</v>
      </c>
      <c r="H59" s="2" t="s">
        <v>21</v>
      </c>
      <c r="I59" s="3">
        <v>46289</v>
      </c>
      <c r="J59" s="2">
        <v>3900</v>
      </c>
    </row>
    <row r="60" spans="1:10" x14ac:dyDescent="0.6">
      <c r="A60" s="2" t="s">
        <v>143</v>
      </c>
      <c r="B60" s="2" t="s">
        <v>144</v>
      </c>
      <c r="C60" s="2">
        <v>56</v>
      </c>
      <c r="D60" s="2" t="s">
        <v>11</v>
      </c>
      <c r="E60" s="2" t="s">
        <v>24</v>
      </c>
      <c r="F60" s="2" t="s">
        <v>25</v>
      </c>
      <c r="G60" s="2" t="s">
        <v>34</v>
      </c>
      <c r="H60" s="2" t="s">
        <v>15</v>
      </c>
      <c r="I60" s="3">
        <v>46289</v>
      </c>
      <c r="J60" s="2">
        <v>18500</v>
      </c>
    </row>
    <row r="61" spans="1:10" x14ac:dyDescent="0.6">
      <c r="A61" s="2" t="s">
        <v>145</v>
      </c>
      <c r="B61" s="2" t="s">
        <v>146</v>
      </c>
      <c r="C61" s="2">
        <v>26</v>
      </c>
      <c r="D61" s="2" t="s">
        <v>18</v>
      </c>
      <c r="E61" s="2" t="s">
        <v>12</v>
      </c>
      <c r="F61" s="2" t="s">
        <v>13</v>
      </c>
      <c r="G61" s="2" t="s">
        <v>14</v>
      </c>
      <c r="H61" s="2" t="s">
        <v>31</v>
      </c>
      <c r="I61" s="3">
        <v>46289</v>
      </c>
      <c r="J61" s="2">
        <v>5100</v>
      </c>
    </row>
    <row r="62" spans="1:10" x14ac:dyDescent="0.6">
      <c r="A62" s="2" t="s">
        <v>147</v>
      </c>
      <c r="B62" s="2" t="s">
        <v>148</v>
      </c>
      <c r="C62" s="2">
        <v>48</v>
      </c>
      <c r="D62" s="2" t="s">
        <v>11</v>
      </c>
      <c r="E62" s="2" t="s">
        <v>19</v>
      </c>
      <c r="F62" s="2" t="s">
        <v>20</v>
      </c>
      <c r="G62" s="2" t="s">
        <v>26</v>
      </c>
      <c r="H62" s="2" t="s">
        <v>15</v>
      </c>
      <c r="I62" s="3">
        <v>46290</v>
      </c>
      <c r="J62" s="2">
        <v>13000</v>
      </c>
    </row>
    <row r="63" spans="1:10" x14ac:dyDescent="0.6">
      <c r="A63" s="2" t="s">
        <v>149</v>
      </c>
      <c r="B63" s="2" t="s">
        <v>150</v>
      </c>
      <c r="C63" s="2">
        <v>33</v>
      </c>
      <c r="D63" s="2" t="s">
        <v>18</v>
      </c>
      <c r="E63" s="2" t="s">
        <v>29</v>
      </c>
      <c r="F63" s="2" t="s">
        <v>30</v>
      </c>
      <c r="G63" s="2" t="s">
        <v>14</v>
      </c>
      <c r="H63" s="2" t="s">
        <v>21</v>
      </c>
      <c r="I63" s="3">
        <v>46290</v>
      </c>
      <c r="J63" s="2">
        <v>3600</v>
      </c>
    </row>
    <row r="64" spans="1:10" x14ac:dyDescent="0.6">
      <c r="A64" s="2" t="s">
        <v>151</v>
      </c>
      <c r="B64" s="2" t="s">
        <v>48</v>
      </c>
      <c r="C64" s="2">
        <v>29</v>
      </c>
      <c r="D64" s="2" t="s">
        <v>11</v>
      </c>
      <c r="E64" s="2" t="s">
        <v>39</v>
      </c>
      <c r="F64" s="2" t="s">
        <v>40</v>
      </c>
      <c r="G64" s="2" t="s">
        <v>14</v>
      </c>
      <c r="H64" s="2" t="s">
        <v>31</v>
      </c>
      <c r="I64" s="3">
        <v>46290</v>
      </c>
      <c r="J64" s="2">
        <v>2900</v>
      </c>
    </row>
    <row r="65" spans="1:10" x14ac:dyDescent="0.6">
      <c r="A65" s="2" t="s">
        <v>152</v>
      </c>
      <c r="B65" s="2" t="s">
        <v>153</v>
      </c>
      <c r="C65" s="2">
        <v>52</v>
      </c>
      <c r="D65" s="2" t="s">
        <v>11</v>
      </c>
      <c r="E65" s="2" t="s">
        <v>12</v>
      </c>
      <c r="F65" s="2" t="s">
        <v>13</v>
      </c>
      <c r="G65" s="2" t="s">
        <v>34</v>
      </c>
      <c r="H65" s="2" t="s">
        <v>21</v>
      </c>
      <c r="I65" s="3">
        <v>46291</v>
      </c>
      <c r="J65" s="2">
        <v>23000</v>
      </c>
    </row>
    <row r="66" spans="1:10" x14ac:dyDescent="0.6">
      <c r="A66" s="2" t="s">
        <v>154</v>
      </c>
      <c r="B66" s="2" t="s">
        <v>155</v>
      </c>
      <c r="C66" s="2">
        <v>30</v>
      </c>
      <c r="D66" s="2" t="s">
        <v>18</v>
      </c>
      <c r="E66" s="2" t="s">
        <v>24</v>
      </c>
      <c r="F66" s="2" t="s">
        <v>25</v>
      </c>
      <c r="G66" s="2" t="s">
        <v>14</v>
      </c>
      <c r="H66" s="2" t="s">
        <v>15</v>
      </c>
      <c r="I66" s="3">
        <v>46291</v>
      </c>
      <c r="J66" s="2">
        <v>7600</v>
      </c>
    </row>
    <row r="67" spans="1:10" x14ac:dyDescent="0.6">
      <c r="A67" s="2" t="s">
        <v>156</v>
      </c>
      <c r="B67" s="2" t="s">
        <v>157</v>
      </c>
      <c r="C67" s="2">
        <v>41</v>
      </c>
      <c r="D67" s="2" t="s">
        <v>11</v>
      </c>
      <c r="E67" s="2" t="s">
        <v>19</v>
      </c>
      <c r="F67" s="2" t="s">
        <v>20</v>
      </c>
      <c r="G67" s="2" t="s">
        <v>14</v>
      </c>
      <c r="H67" s="2" t="s">
        <v>31</v>
      </c>
      <c r="I67" s="3">
        <v>46291</v>
      </c>
      <c r="J67" s="2">
        <v>6900</v>
      </c>
    </row>
    <row r="68" spans="1:10" x14ac:dyDescent="0.6">
      <c r="A68" s="2" t="s">
        <v>158</v>
      </c>
      <c r="B68" s="2" t="s">
        <v>159</v>
      </c>
      <c r="C68" s="2">
        <v>23</v>
      </c>
      <c r="D68" s="2" t="s">
        <v>18</v>
      </c>
      <c r="E68" s="2" t="s">
        <v>39</v>
      </c>
      <c r="F68" s="2" t="s">
        <v>40</v>
      </c>
      <c r="G68" s="2" t="s">
        <v>14</v>
      </c>
      <c r="H68" s="2" t="s">
        <v>21</v>
      </c>
      <c r="I68" s="3">
        <v>46292</v>
      </c>
      <c r="J68" s="2">
        <v>3500</v>
      </c>
    </row>
    <row r="69" spans="1:10" x14ac:dyDescent="0.6">
      <c r="A69" s="2" t="s">
        <v>160</v>
      </c>
      <c r="B69" s="2" t="s">
        <v>161</v>
      </c>
      <c r="C69" s="2">
        <v>55</v>
      </c>
      <c r="D69" s="2" t="s">
        <v>11</v>
      </c>
      <c r="E69" s="2" t="s">
        <v>12</v>
      </c>
      <c r="F69" s="2" t="s">
        <v>13</v>
      </c>
      <c r="G69" s="2" t="s">
        <v>26</v>
      </c>
      <c r="H69" s="2" t="s">
        <v>15</v>
      </c>
      <c r="I69" s="3">
        <v>46292</v>
      </c>
      <c r="J69" s="2">
        <v>14800</v>
      </c>
    </row>
    <row r="70" spans="1:10" x14ac:dyDescent="0.6">
      <c r="A70" s="2" t="s">
        <v>162</v>
      </c>
      <c r="B70" s="2" t="s">
        <v>163</v>
      </c>
      <c r="C70" s="2">
        <v>27</v>
      </c>
      <c r="D70" s="2" t="s">
        <v>18</v>
      </c>
      <c r="E70" s="2" t="s">
        <v>29</v>
      </c>
      <c r="F70" s="2" t="s">
        <v>30</v>
      </c>
      <c r="G70" s="2" t="s">
        <v>14</v>
      </c>
      <c r="H70" s="2" t="s">
        <v>31</v>
      </c>
      <c r="I70" s="3">
        <v>46292</v>
      </c>
      <c r="J70" s="2">
        <v>3000</v>
      </c>
    </row>
    <row r="71" spans="1:10" x14ac:dyDescent="0.6">
      <c r="A71" s="2" t="s">
        <v>164</v>
      </c>
      <c r="B71" s="2" t="s">
        <v>165</v>
      </c>
      <c r="C71" s="2">
        <v>45</v>
      </c>
      <c r="D71" s="2" t="s">
        <v>11</v>
      </c>
      <c r="E71" s="2" t="s">
        <v>24</v>
      </c>
      <c r="F71" s="2" t="s">
        <v>25</v>
      </c>
      <c r="G71" s="2" t="s">
        <v>34</v>
      </c>
      <c r="H71" s="2" t="s">
        <v>21</v>
      </c>
      <c r="I71" s="3">
        <v>46293</v>
      </c>
      <c r="J71" s="2">
        <v>20500</v>
      </c>
    </row>
    <row r="72" spans="1:10" x14ac:dyDescent="0.6">
      <c r="A72" s="2" t="s">
        <v>166</v>
      </c>
      <c r="B72" s="2" t="s">
        <v>167</v>
      </c>
      <c r="C72" s="2">
        <v>36</v>
      </c>
      <c r="D72" s="2" t="s">
        <v>18</v>
      </c>
      <c r="E72" s="2" t="s">
        <v>19</v>
      </c>
      <c r="F72" s="2" t="s">
        <v>20</v>
      </c>
      <c r="G72" s="2" t="s">
        <v>14</v>
      </c>
      <c r="H72" s="2" t="s">
        <v>15</v>
      </c>
      <c r="I72" s="3">
        <v>46293</v>
      </c>
      <c r="J72" s="2">
        <v>6400</v>
      </c>
    </row>
    <row r="73" spans="1:10" x14ac:dyDescent="0.6">
      <c r="A73" s="2" t="s">
        <v>168</v>
      </c>
      <c r="B73" s="2" t="s">
        <v>169</v>
      </c>
      <c r="C73" s="2">
        <v>34</v>
      </c>
      <c r="D73" s="2" t="s">
        <v>11</v>
      </c>
      <c r="E73" s="2" t="s">
        <v>39</v>
      </c>
      <c r="F73" s="2" t="s">
        <v>40</v>
      </c>
      <c r="G73" s="2" t="s">
        <v>14</v>
      </c>
      <c r="H73" s="2" t="s">
        <v>31</v>
      </c>
      <c r="I73" s="3">
        <v>46293</v>
      </c>
      <c r="J73" s="2">
        <v>3600</v>
      </c>
    </row>
    <row r="74" spans="1:10" x14ac:dyDescent="0.6">
      <c r="A74" s="2" t="s">
        <v>170</v>
      </c>
      <c r="B74" s="2" t="s">
        <v>171</v>
      </c>
      <c r="C74" s="2">
        <v>49</v>
      </c>
      <c r="D74" s="2" t="s">
        <v>18</v>
      </c>
      <c r="E74" s="2" t="s">
        <v>12</v>
      </c>
      <c r="F74" s="2" t="s">
        <v>13</v>
      </c>
      <c r="G74" s="2" t="s">
        <v>26</v>
      </c>
      <c r="H74" s="2" t="s">
        <v>15</v>
      </c>
      <c r="I74" s="3">
        <v>46294</v>
      </c>
      <c r="J74" s="2">
        <v>14200</v>
      </c>
    </row>
    <row r="75" spans="1:10" x14ac:dyDescent="0.6">
      <c r="A75" s="2" t="s">
        <v>172</v>
      </c>
      <c r="B75" s="2" t="s">
        <v>173</v>
      </c>
      <c r="C75" s="2">
        <v>39</v>
      </c>
      <c r="D75" s="2" t="s">
        <v>11</v>
      </c>
      <c r="E75" s="2" t="s">
        <v>24</v>
      </c>
      <c r="F75" s="2" t="s">
        <v>25</v>
      </c>
      <c r="G75" s="2" t="s">
        <v>14</v>
      </c>
      <c r="H75" s="2" t="s">
        <v>21</v>
      </c>
      <c r="I75" s="3">
        <v>46294</v>
      </c>
      <c r="J75" s="2">
        <v>8200</v>
      </c>
    </row>
    <row r="76" spans="1:10" x14ac:dyDescent="0.6">
      <c r="A76" s="2" t="s">
        <v>174</v>
      </c>
      <c r="B76" s="2" t="s">
        <v>175</v>
      </c>
      <c r="C76" s="2">
        <v>21</v>
      </c>
      <c r="D76" s="2" t="s">
        <v>18</v>
      </c>
      <c r="E76" s="2" t="s">
        <v>29</v>
      </c>
      <c r="F76" s="2" t="s">
        <v>30</v>
      </c>
      <c r="G76" s="2" t="s">
        <v>14</v>
      </c>
      <c r="H76" s="2" t="s">
        <v>31</v>
      </c>
      <c r="I76" s="3">
        <v>46294</v>
      </c>
      <c r="J76" s="2">
        <v>2400</v>
      </c>
    </row>
    <row r="77" spans="1:10" x14ac:dyDescent="0.6">
      <c r="A77" s="2" t="s">
        <v>176</v>
      </c>
      <c r="B77" s="2" t="s">
        <v>177</v>
      </c>
      <c r="C77" s="2">
        <v>58</v>
      </c>
      <c r="D77" s="2" t="s">
        <v>11</v>
      </c>
      <c r="E77" s="2" t="s">
        <v>19</v>
      </c>
      <c r="F77" s="2" t="s">
        <v>20</v>
      </c>
      <c r="G77" s="2" t="s">
        <v>34</v>
      </c>
      <c r="H77" s="2" t="s">
        <v>15</v>
      </c>
      <c r="I77" s="3">
        <v>46295</v>
      </c>
      <c r="J77" s="2">
        <v>19000</v>
      </c>
    </row>
    <row r="78" spans="1:10" x14ac:dyDescent="0.6">
      <c r="A78" s="2" t="s">
        <v>178</v>
      </c>
      <c r="B78" s="2" t="s">
        <v>179</v>
      </c>
      <c r="C78" s="2">
        <v>31</v>
      </c>
      <c r="D78" s="2" t="s">
        <v>18</v>
      </c>
      <c r="E78" s="2" t="s">
        <v>39</v>
      </c>
      <c r="F78" s="2" t="s">
        <v>40</v>
      </c>
      <c r="G78" s="2" t="s">
        <v>14</v>
      </c>
      <c r="H78" s="2" t="s">
        <v>21</v>
      </c>
      <c r="I78" s="3">
        <v>46295</v>
      </c>
      <c r="J78" s="2">
        <v>4100</v>
      </c>
    </row>
    <row r="79" spans="1:10" x14ac:dyDescent="0.6">
      <c r="A79" s="2" t="s">
        <v>180</v>
      </c>
      <c r="B79" s="2" t="s">
        <v>181</v>
      </c>
      <c r="C79" s="2">
        <v>44</v>
      </c>
      <c r="D79" s="2" t="s">
        <v>11</v>
      </c>
      <c r="E79" s="2" t="s">
        <v>12</v>
      </c>
      <c r="F79" s="2" t="s">
        <v>13</v>
      </c>
      <c r="G79" s="2" t="s">
        <v>14</v>
      </c>
      <c r="H79" s="2" t="s">
        <v>15</v>
      </c>
      <c r="I79" s="3">
        <v>46295</v>
      </c>
      <c r="J79" s="2">
        <v>8500</v>
      </c>
    </row>
    <row r="80" spans="1:10" x14ac:dyDescent="0.6">
      <c r="A80" s="2" t="s">
        <v>182</v>
      </c>
      <c r="B80" s="2" t="s">
        <v>183</v>
      </c>
      <c r="C80" s="2">
        <v>26</v>
      </c>
      <c r="D80" s="2" t="s">
        <v>18</v>
      </c>
      <c r="E80" s="2" t="s">
        <v>29</v>
      </c>
      <c r="F80" s="2" t="s">
        <v>30</v>
      </c>
      <c r="G80" s="2" t="s">
        <v>14</v>
      </c>
      <c r="H80" s="2" t="s">
        <v>31</v>
      </c>
      <c r="I80" s="3">
        <v>46296</v>
      </c>
      <c r="J80" s="2">
        <v>2800</v>
      </c>
    </row>
    <row r="81" spans="1:10" x14ac:dyDescent="0.6">
      <c r="A81" s="2" t="s">
        <v>184</v>
      </c>
      <c r="B81" s="2" t="s">
        <v>185</v>
      </c>
      <c r="C81" s="2">
        <v>61</v>
      </c>
      <c r="D81" s="2" t="s">
        <v>11</v>
      </c>
      <c r="E81" s="2" t="s">
        <v>24</v>
      </c>
      <c r="F81" s="2" t="s">
        <v>25</v>
      </c>
      <c r="G81" s="2" t="s">
        <v>26</v>
      </c>
      <c r="H81" s="3" t="s">
        <v>15</v>
      </c>
      <c r="I81" s="3">
        <v>46296</v>
      </c>
      <c r="J81" s="2">
        <v>15000</v>
      </c>
    </row>
    <row r="82" spans="1:10" x14ac:dyDescent="0.6">
      <c r="A82" s="2" t="s">
        <v>186</v>
      </c>
      <c r="B82" s="2" t="s">
        <v>187</v>
      </c>
      <c r="C82" s="2">
        <v>40</v>
      </c>
      <c r="D82" s="2" t="s">
        <v>18</v>
      </c>
      <c r="E82" s="2" t="s">
        <v>12</v>
      </c>
      <c r="F82" s="2" t="s">
        <v>13</v>
      </c>
      <c r="G82" s="2" t="s">
        <v>14</v>
      </c>
      <c r="H82" s="2" t="s">
        <v>21</v>
      </c>
      <c r="I82" s="3">
        <v>46296</v>
      </c>
      <c r="J82" s="2">
        <v>7300</v>
      </c>
    </row>
    <row r="83" spans="1:10" x14ac:dyDescent="0.6">
      <c r="A83" s="2" t="s">
        <v>188</v>
      </c>
      <c r="B83" s="2" t="s">
        <v>189</v>
      </c>
      <c r="C83" s="2">
        <v>28</v>
      </c>
      <c r="D83" s="2" t="s">
        <v>11</v>
      </c>
      <c r="E83" s="2" t="s">
        <v>19</v>
      </c>
      <c r="F83" s="2" t="s">
        <v>20</v>
      </c>
      <c r="G83" s="2" t="s">
        <v>14</v>
      </c>
      <c r="H83" s="2" t="s">
        <v>15</v>
      </c>
      <c r="I83" s="3">
        <v>46297</v>
      </c>
      <c r="J83" s="2">
        <v>6100</v>
      </c>
    </row>
    <row r="84" spans="1:10" x14ac:dyDescent="0.6">
      <c r="A84" s="2" t="s">
        <v>190</v>
      </c>
      <c r="B84" s="2" t="s">
        <v>42</v>
      </c>
      <c r="C84" s="2">
        <v>34</v>
      </c>
      <c r="D84" s="2" t="s">
        <v>18</v>
      </c>
      <c r="E84" s="2" t="s">
        <v>39</v>
      </c>
      <c r="F84" s="2" t="s">
        <v>40</v>
      </c>
      <c r="G84" s="2" t="s">
        <v>14</v>
      </c>
      <c r="H84" s="2" t="s">
        <v>31</v>
      </c>
      <c r="I84" s="3">
        <v>46297</v>
      </c>
      <c r="J84" s="2">
        <v>3200</v>
      </c>
    </row>
    <row r="85" spans="1:10" x14ac:dyDescent="0.6">
      <c r="A85" s="2" t="s">
        <v>191</v>
      </c>
      <c r="B85" s="2" t="s">
        <v>192</v>
      </c>
      <c r="C85" s="2">
        <v>51</v>
      </c>
      <c r="D85" s="2" t="s">
        <v>11</v>
      </c>
      <c r="E85" s="2" t="s">
        <v>24</v>
      </c>
      <c r="F85" s="2" t="s">
        <v>25</v>
      </c>
      <c r="G85" s="2" t="s">
        <v>34</v>
      </c>
      <c r="H85" s="2" t="s">
        <v>21</v>
      </c>
      <c r="I85" s="3">
        <v>46297</v>
      </c>
      <c r="J85" s="2">
        <v>21500</v>
      </c>
    </row>
    <row r="86" spans="1:10" x14ac:dyDescent="0.6">
      <c r="A86" s="2" t="s">
        <v>193</v>
      </c>
      <c r="B86" s="2" t="s">
        <v>194</v>
      </c>
      <c r="C86" s="2">
        <v>29</v>
      </c>
      <c r="D86" s="2" t="s">
        <v>18</v>
      </c>
      <c r="E86" s="2" t="s">
        <v>29</v>
      </c>
      <c r="F86" s="2" t="s">
        <v>30</v>
      </c>
      <c r="G86" s="2" t="s">
        <v>14</v>
      </c>
      <c r="H86" s="2" t="s">
        <v>15</v>
      </c>
      <c r="I86" s="3">
        <v>46298</v>
      </c>
      <c r="J86" s="2">
        <v>3900</v>
      </c>
    </row>
    <row r="87" spans="1:10" x14ac:dyDescent="0.6">
      <c r="A87" s="2" t="s">
        <v>195</v>
      </c>
      <c r="B87" s="2" t="s">
        <v>196</v>
      </c>
      <c r="C87" s="2">
        <v>46</v>
      </c>
      <c r="D87" s="2" t="s">
        <v>11</v>
      </c>
      <c r="E87" s="2" t="s">
        <v>12</v>
      </c>
      <c r="F87" s="2" t="s">
        <v>13</v>
      </c>
      <c r="G87" s="2" t="s">
        <v>26</v>
      </c>
      <c r="H87" s="2" t="s">
        <v>15</v>
      </c>
      <c r="I87" s="3">
        <v>46298</v>
      </c>
      <c r="J87" s="2">
        <v>15200</v>
      </c>
    </row>
    <row r="88" spans="1:10" x14ac:dyDescent="0.6">
      <c r="A88" s="2" t="s">
        <v>197</v>
      </c>
      <c r="B88" s="2" t="s">
        <v>198</v>
      </c>
      <c r="C88" s="2">
        <v>37</v>
      </c>
      <c r="D88" s="2" t="s">
        <v>18</v>
      </c>
      <c r="E88" s="2" t="s">
        <v>19</v>
      </c>
      <c r="F88" s="2" t="s">
        <v>20</v>
      </c>
      <c r="G88" s="2" t="s">
        <v>14</v>
      </c>
      <c r="H88" s="2" t="s">
        <v>31</v>
      </c>
      <c r="I88" s="3">
        <v>46298</v>
      </c>
      <c r="J88" s="2">
        <v>6700</v>
      </c>
    </row>
    <row r="89" spans="1:10" x14ac:dyDescent="0.6">
      <c r="A89" s="2" t="s">
        <v>199</v>
      </c>
      <c r="B89" s="2" t="s">
        <v>200</v>
      </c>
      <c r="C89" s="2">
        <v>32</v>
      </c>
      <c r="D89" s="2" t="s">
        <v>11</v>
      </c>
      <c r="E89" s="2" t="s">
        <v>39</v>
      </c>
      <c r="F89" s="2" t="s">
        <v>40</v>
      </c>
      <c r="G89" s="2" t="s">
        <v>14</v>
      </c>
      <c r="H89" s="2" t="s">
        <v>21</v>
      </c>
      <c r="I89" s="3">
        <v>46299</v>
      </c>
      <c r="J89" s="2">
        <v>3000</v>
      </c>
    </row>
    <row r="90" spans="1:10" x14ac:dyDescent="0.6">
      <c r="A90" s="2" t="s">
        <v>201</v>
      </c>
      <c r="B90" s="2" t="s">
        <v>202</v>
      </c>
      <c r="C90" s="2">
        <v>43</v>
      </c>
      <c r="D90" s="2" t="s">
        <v>18</v>
      </c>
      <c r="E90" s="2" t="s">
        <v>24</v>
      </c>
      <c r="F90" s="2" t="s">
        <v>25</v>
      </c>
      <c r="G90" s="2" t="s">
        <v>34</v>
      </c>
      <c r="H90" s="2" t="s">
        <v>15</v>
      </c>
      <c r="I90" s="3">
        <v>46299</v>
      </c>
      <c r="J90" s="2">
        <v>18000</v>
      </c>
    </row>
    <row r="91" spans="1:10" x14ac:dyDescent="0.6">
      <c r="A91" s="2" t="s">
        <v>203</v>
      </c>
      <c r="B91" s="2" t="s">
        <v>204</v>
      </c>
      <c r="C91" s="2">
        <v>50</v>
      </c>
      <c r="D91" s="2" t="s">
        <v>11</v>
      </c>
      <c r="E91" s="2" t="s">
        <v>12</v>
      </c>
      <c r="F91" s="2" t="s">
        <v>13</v>
      </c>
      <c r="G91" s="2" t="s">
        <v>14</v>
      </c>
      <c r="H91" s="2" t="s">
        <v>31</v>
      </c>
      <c r="I91" s="3">
        <v>46300</v>
      </c>
      <c r="J91" s="2">
        <v>7900</v>
      </c>
    </row>
    <row r="92" spans="1:10" x14ac:dyDescent="0.6">
      <c r="A92" s="2" t="s">
        <v>205</v>
      </c>
      <c r="B92" s="2" t="s">
        <v>206</v>
      </c>
      <c r="C92" s="2">
        <v>24</v>
      </c>
      <c r="D92" s="2" t="s">
        <v>18</v>
      </c>
      <c r="E92" s="2" t="s">
        <v>29</v>
      </c>
      <c r="F92" s="2" t="s">
        <v>30</v>
      </c>
      <c r="G92" s="2" t="s">
        <v>14</v>
      </c>
      <c r="H92" s="2" t="s">
        <v>21</v>
      </c>
      <c r="I92" s="3">
        <v>46300</v>
      </c>
      <c r="J92" s="2">
        <v>2700</v>
      </c>
    </row>
    <row r="93" spans="1:10" x14ac:dyDescent="0.6">
      <c r="A93" s="2" t="s">
        <v>207</v>
      </c>
      <c r="B93" s="2" t="s">
        <v>208</v>
      </c>
      <c r="C93" s="2">
        <v>57</v>
      </c>
      <c r="D93" s="2" t="s">
        <v>11</v>
      </c>
      <c r="E93" s="2" t="s">
        <v>19</v>
      </c>
      <c r="F93" s="2" t="s">
        <v>20</v>
      </c>
      <c r="G93" s="2" t="s">
        <v>26</v>
      </c>
      <c r="H93" s="2" t="s">
        <v>15</v>
      </c>
      <c r="I93" s="3">
        <v>46300</v>
      </c>
      <c r="J93" s="2">
        <v>12800</v>
      </c>
    </row>
    <row r="94" spans="1:10" x14ac:dyDescent="0.6">
      <c r="A94" s="2" t="s">
        <v>209</v>
      </c>
      <c r="B94" s="2" t="s">
        <v>54</v>
      </c>
      <c r="C94" s="2">
        <v>30</v>
      </c>
      <c r="D94" s="2" t="s">
        <v>18</v>
      </c>
      <c r="E94" s="2" t="s">
        <v>39</v>
      </c>
      <c r="F94" s="2" t="s">
        <v>40</v>
      </c>
      <c r="G94" s="2" t="s">
        <v>14</v>
      </c>
      <c r="H94" s="2" t="s">
        <v>31</v>
      </c>
      <c r="I94" s="3">
        <v>46301</v>
      </c>
      <c r="J94" s="2">
        <v>3500</v>
      </c>
    </row>
    <row r="95" spans="1:10" x14ac:dyDescent="0.6">
      <c r="A95" s="2" t="s">
        <v>210</v>
      </c>
      <c r="B95" s="2" t="s">
        <v>211</v>
      </c>
      <c r="C95" s="2">
        <v>48</v>
      </c>
      <c r="D95" s="2" t="s">
        <v>11</v>
      </c>
      <c r="E95" s="2" t="s">
        <v>24</v>
      </c>
      <c r="F95" s="2" t="s">
        <v>25</v>
      </c>
      <c r="G95" s="2" t="s">
        <v>14</v>
      </c>
      <c r="H95" s="2" t="s">
        <v>15</v>
      </c>
      <c r="I95" s="3">
        <v>46301</v>
      </c>
      <c r="J95" s="2">
        <v>8800</v>
      </c>
    </row>
    <row r="96" spans="1:10" x14ac:dyDescent="0.6">
      <c r="A96" s="2" t="s">
        <v>212</v>
      </c>
      <c r="B96" s="2" t="s">
        <v>213</v>
      </c>
      <c r="C96" s="2">
        <v>22</v>
      </c>
      <c r="D96" s="2" t="s">
        <v>18</v>
      </c>
      <c r="E96" s="2" t="s">
        <v>12</v>
      </c>
      <c r="F96" s="2" t="s">
        <v>13</v>
      </c>
      <c r="G96" s="2" t="s">
        <v>14</v>
      </c>
      <c r="H96" s="2" t="s">
        <v>21</v>
      </c>
      <c r="I96" s="3">
        <v>46301</v>
      </c>
      <c r="J96" s="2">
        <v>5200</v>
      </c>
    </row>
    <row r="97" spans="1:10" x14ac:dyDescent="0.6">
      <c r="A97" s="2" t="s">
        <v>214</v>
      </c>
      <c r="B97" s="2" t="s">
        <v>215</v>
      </c>
      <c r="C97" s="2">
        <v>63</v>
      </c>
      <c r="D97" s="2" t="s">
        <v>11</v>
      </c>
      <c r="E97" s="2" t="s">
        <v>12</v>
      </c>
      <c r="F97" s="2" t="s">
        <v>13</v>
      </c>
      <c r="G97" s="2" t="s">
        <v>34</v>
      </c>
      <c r="H97" s="2" t="s">
        <v>15</v>
      </c>
      <c r="I97" s="3">
        <v>46302</v>
      </c>
      <c r="J97" s="2">
        <v>26000</v>
      </c>
    </row>
    <row r="98" spans="1:10" x14ac:dyDescent="0.6">
      <c r="A98" s="2" t="s">
        <v>216</v>
      </c>
      <c r="B98" s="2" t="s">
        <v>70</v>
      </c>
      <c r="C98" s="2">
        <v>35</v>
      </c>
      <c r="D98" s="2" t="s">
        <v>18</v>
      </c>
      <c r="E98" s="2" t="s">
        <v>19</v>
      </c>
      <c r="F98" s="2" t="s">
        <v>20</v>
      </c>
      <c r="G98" s="2" t="s">
        <v>14</v>
      </c>
      <c r="H98" s="2" t="s">
        <v>31</v>
      </c>
      <c r="I98" s="3">
        <v>46302</v>
      </c>
      <c r="J98" s="2">
        <v>6300</v>
      </c>
    </row>
    <row r="99" spans="1:10" x14ac:dyDescent="0.6">
      <c r="A99" s="2" t="s">
        <v>217</v>
      </c>
      <c r="B99" s="2" t="s">
        <v>218</v>
      </c>
      <c r="C99" s="2">
        <v>27</v>
      </c>
      <c r="D99" s="2" t="s">
        <v>11</v>
      </c>
      <c r="E99" s="2" t="s">
        <v>39</v>
      </c>
      <c r="F99" s="2" t="s">
        <v>40</v>
      </c>
      <c r="G99" s="2" t="s">
        <v>14</v>
      </c>
      <c r="H99" s="2" t="s">
        <v>21</v>
      </c>
      <c r="I99" s="3">
        <v>46302</v>
      </c>
      <c r="J99" s="2">
        <v>3100</v>
      </c>
    </row>
    <row r="100" spans="1:10" x14ac:dyDescent="0.6">
      <c r="A100" s="2" t="s">
        <v>219</v>
      </c>
      <c r="B100" s="2" t="s">
        <v>84</v>
      </c>
      <c r="C100" s="2">
        <v>42</v>
      </c>
      <c r="D100" s="2" t="s">
        <v>18</v>
      </c>
      <c r="E100" s="2" t="s">
        <v>24</v>
      </c>
      <c r="F100" s="2" t="s">
        <v>25</v>
      </c>
      <c r="G100" s="2" t="s">
        <v>26</v>
      </c>
      <c r="H100" s="2" t="s">
        <v>15</v>
      </c>
      <c r="I100" s="3">
        <v>46303</v>
      </c>
      <c r="J100" s="2">
        <v>11800</v>
      </c>
    </row>
    <row r="101" spans="1:10" x14ac:dyDescent="0.6">
      <c r="A101" s="2" t="s">
        <v>220</v>
      </c>
      <c r="B101" s="2" t="s">
        <v>221</v>
      </c>
      <c r="C101" s="2">
        <v>53</v>
      </c>
      <c r="D101" s="2" t="s">
        <v>11</v>
      </c>
      <c r="E101" s="2" t="s">
        <v>29</v>
      </c>
      <c r="F101" s="2" t="s">
        <v>30</v>
      </c>
      <c r="G101" s="2" t="s">
        <v>14</v>
      </c>
      <c r="H101" s="2" t="s">
        <v>31</v>
      </c>
      <c r="I101" s="3">
        <v>46303</v>
      </c>
      <c r="J101" s="2">
        <v>4300</v>
      </c>
    </row>
    <row r="102" spans="1:10" x14ac:dyDescent="0.6">
      <c r="A102" s="2" t="s">
        <v>222</v>
      </c>
      <c r="B102" s="2" t="s">
        <v>223</v>
      </c>
      <c r="C102" s="2">
        <v>38</v>
      </c>
      <c r="D102" s="2" t="s">
        <v>11</v>
      </c>
      <c r="E102" s="2" t="s">
        <v>12</v>
      </c>
      <c r="F102" s="2" t="s">
        <v>13</v>
      </c>
      <c r="G102" s="2" t="s">
        <v>14</v>
      </c>
      <c r="H102" s="2" t="s">
        <v>15</v>
      </c>
      <c r="I102" s="3">
        <v>46303</v>
      </c>
      <c r="J102" s="2">
        <v>6900</v>
      </c>
    </row>
    <row r="103" spans="1:10" x14ac:dyDescent="0.6">
      <c r="A103" s="2" t="s">
        <v>224</v>
      </c>
      <c r="B103" s="2" t="s">
        <v>225</v>
      </c>
      <c r="C103" s="2">
        <v>25</v>
      </c>
      <c r="D103" s="2" t="s">
        <v>18</v>
      </c>
      <c r="E103" s="2" t="s">
        <v>19</v>
      </c>
      <c r="F103" s="2" t="s">
        <v>20</v>
      </c>
      <c r="G103" s="2" t="s">
        <v>14</v>
      </c>
      <c r="H103" s="2" t="s">
        <v>21</v>
      </c>
      <c r="I103" s="3">
        <v>46304</v>
      </c>
      <c r="J103" s="2">
        <v>5700</v>
      </c>
    </row>
    <row r="104" spans="1:10" x14ac:dyDescent="0.6">
      <c r="A104" s="2" t="s">
        <v>226</v>
      </c>
      <c r="B104" s="2" t="s">
        <v>227</v>
      </c>
      <c r="C104" s="2">
        <v>47</v>
      </c>
      <c r="D104" s="2" t="s">
        <v>11</v>
      </c>
      <c r="E104" s="2" t="s">
        <v>24</v>
      </c>
      <c r="F104" s="2" t="s">
        <v>25</v>
      </c>
      <c r="G104" s="2" t="s">
        <v>34</v>
      </c>
      <c r="H104" s="2" t="s">
        <v>15</v>
      </c>
      <c r="I104" s="3">
        <v>46304</v>
      </c>
      <c r="J104" s="2">
        <v>19800</v>
      </c>
    </row>
    <row r="105" spans="1:10" x14ac:dyDescent="0.6">
      <c r="A105" s="2" t="s">
        <v>228</v>
      </c>
      <c r="B105" s="2" t="s">
        <v>229</v>
      </c>
      <c r="C105" s="2">
        <v>29</v>
      </c>
      <c r="D105" s="2" t="s">
        <v>18</v>
      </c>
      <c r="E105" s="2" t="s">
        <v>29</v>
      </c>
      <c r="F105" s="2" t="s">
        <v>30</v>
      </c>
      <c r="G105" s="2" t="s">
        <v>14</v>
      </c>
      <c r="H105" s="2" t="s">
        <v>31</v>
      </c>
      <c r="I105" s="3">
        <v>46304</v>
      </c>
      <c r="J105" s="2">
        <v>3300</v>
      </c>
    </row>
    <row r="106" spans="1:10" x14ac:dyDescent="0.6">
      <c r="A106" s="2" t="s">
        <v>230</v>
      </c>
      <c r="B106" s="2" t="s">
        <v>231</v>
      </c>
      <c r="C106" s="2">
        <v>59</v>
      </c>
      <c r="D106" s="2" t="s">
        <v>11</v>
      </c>
      <c r="E106" s="2" t="s">
        <v>12</v>
      </c>
      <c r="F106" s="2" t="s">
        <v>13</v>
      </c>
      <c r="G106" s="2" t="s">
        <v>26</v>
      </c>
      <c r="H106" s="2" t="s">
        <v>15</v>
      </c>
      <c r="I106" s="3">
        <v>46305</v>
      </c>
      <c r="J106" s="2">
        <v>16500</v>
      </c>
    </row>
    <row r="107" spans="1:10" x14ac:dyDescent="0.6">
      <c r="A107" s="2" t="s">
        <v>232</v>
      </c>
      <c r="B107" s="2" t="s">
        <v>175</v>
      </c>
      <c r="C107" s="2">
        <v>33</v>
      </c>
      <c r="D107" s="2" t="s">
        <v>18</v>
      </c>
      <c r="E107" s="2" t="s">
        <v>39</v>
      </c>
      <c r="F107" s="2" t="s">
        <v>40</v>
      </c>
      <c r="G107" s="2" t="s">
        <v>14</v>
      </c>
      <c r="H107" s="2" t="s">
        <v>21</v>
      </c>
      <c r="I107" s="3">
        <v>46305</v>
      </c>
      <c r="J107" s="2">
        <v>3800</v>
      </c>
    </row>
    <row r="108" spans="1:10" x14ac:dyDescent="0.6">
      <c r="A108" s="2" t="s">
        <v>233</v>
      </c>
      <c r="B108" s="2" t="s">
        <v>234</v>
      </c>
      <c r="C108" s="2">
        <v>41</v>
      </c>
      <c r="D108" s="2" t="s">
        <v>11</v>
      </c>
      <c r="E108" s="2" t="s">
        <v>19</v>
      </c>
      <c r="F108" s="2" t="s">
        <v>20</v>
      </c>
      <c r="G108" s="2" t="s">
        <v>14</v>
      </c>
      <c r="H108" s="2" t="s">
        <v>31</v>
      </c>
      <c r="I108" s="3">
        <v>46305</v>
      </c>
      <c r="J108" s="2">
        <v>7400</v>
      </c>
    </row>
    <row r="109" spans="1:10" x14ac:dyDescent="0.6">
      <c r="A109" s="2" t="s">
        <v>235</v>
      </c>
      <c r="B109" s="2" t="s">
        <v>236</v>
      </c>
      <c r="C109" s="2">
        <v>23</v>
      </c>
      <c r="D109" s="2" t="s">
        <v>18</v>
      </c>
      <c r="E109" s="2" t="s">
        <v>29</v>
      </c>
      <c r="F109" s="2" t="s">
        <v>30</v>
      </c>
      <c r="G109" s="2" t="s">
        <v>14</v>
      </c>
      <c r="H109" s="2" t="s">
        <v>15</v>
      </c>
      <c r="I109" s="3">
        <v>46306</v>
      </c>
      <c r="J109" s="2">
        <v>2900</v>
      </c>
    </row>
    <row r="110" spans="1:10" x14ac:dyDescent="0.6">
      <c r="A110" s="2" t="s">
        <v>237</v>
      </c>
      <c r="B110" s="2" t="s">
        <v>238</v>
      </c>
      <c r="C110" s="2">
        <v>54</v>
      </c>
      <c r="D110" s="2" t="s">
        <v>11</v>
      </c>
      <c r="E110" s="2" t="s">
        <v>24</v>
      </c>
      <c r="F110" s="2" t="s">
        <v>25</v>
      </c>
      <c r="G110" s="2" t="s">
        <v>34</v>
      </c>
      <c r="H110" s="2" t="s">
        <v>21</v>
      </c>
      <c r="I110" s="3">
        <v>46306</v>
      </c>
      <c r="J110" s="2">
        <v>22500</v>
      </c>
    </row>
    <row r="111" spans="1:10" x14ac:dyDescent="0.6">
      <c r="A111" s="2" t="s">
        <v>239</v>
      </c>
      <c r="B111" s="2" t="s">
        <v>240</v>
      </c>
      <c r="C111" s="2">
        <v>36</v>
      </c>
      <c r="D111" s="2" t="s">
        <v>18</v>
      </c>
      <c r="E111" s="2" t="s">
        <v>12</v>
      </c>
      <c r="F111" s="2" t="s">
        <v>13</v>
      </c>
      <c r="G111" s="2" t="s">
        <v>14</v>
      </c>
      <c r="H111" s="2" t="s">
        <v>31</v>
      </c>
      <c r="I111" s="3">
        <v>46306</v>
      </c>
      <c r="J111" s="2">
        <v>6100</v>
      </c>
    </row>
    <row r="112" spans="1:10" x14ac:dyDescent="0.6">
      <c r="A112" s="2" t="s">
        <v>241</v>
      </c>
      <c r="B112" s="2" t="s">
        <v>72</v>
      </c>
      <c r="C112" s="2">
        <v>45</v>
      </c>
      <c r="D112" s="2" t="s">
        <v>11</v>
      </c>
      <c r="E112" s="2" t="s">
        <v>19</v>
      </c>
      <c r="F112" s="2" t="s">
        <v>20</v>
      </c>
      <c r="G112" s="2" t="s">
        <v>26</v>
      </c>
      <c r="H112" s="2" t="s">
        <v>15</v>
      </c>
      <c r="I112" s="3">
        <v>46307</v>
      </c>
      <c r="J112" s="2">
        <v>13500</v>
      </c>
    </row>
    <row r="113" spans="1:10" x14ac:dyDescent="0.6">
      <c r="A113" s="2" t="s">
        <v>242</v>
      </c>
      <c r="B113" s="2" t="s">
        <v>243</v>
      </c>
      <c r="C113" s="2">
        <v>28</v>
      </c>
      <c r="D113" s="2" t="s">
        <v>18</v>
      </c>
      <c r="E113" s="2" t="s">
        <v>39</v>
      </c>
      <c r="F113" s="2" t="s">
        <v>40</v>
      </c>
      <c r="G113" s="2" t="s">
        <v>14</v>
      </c>
      <c r="H113" s="2" t="s">
        <v>21</v>
      </c>
      <c r="I113" s="3">
        <v>46307</v>
      </c>
      <c r="J113" s="2">
        <v>3400</v>
      </c>
    </row>
    <row r="114" spans="1:10" x14ac:dyDescent="0.6">
      <c r="A114" s="2" t="s">
        <v>244</v>
      </c>
      <c r="B114" s="2" t="s">
        <v>56</v>
      </c>
      <c r="C114" s="2">
        <v>60</v>
      </c>
      <c r="D114" s="2" t="s">
        <v>11</v>
      </c>
      <c r="E114" s="2" t="s">
        <v>12</v>
      </c>
      <c r="F114" s="2" t="s">
        <v>13</v>
      </c>
      <c r="G114" s="2" t="s">
        <v>34</v>
      </c>
      <c r="H114" s="2" t="s">
        <v>15</v>
      </c>
      <c r="I114" s="3">
        <v>46307</v>
      </c>
      <c r="J114" s="2">
        <v>24500</v>
      </c>
    </row>
    <row r="115" spans="1:10" x14ac:dyDescent="0.6">
      <c r="A115" s="2" t="s">
        <v>245</v>
      </c>
      <c r="B115" s="2" t="s">
        <v>62</v>
      </c>
      <c r="C115" s="2">
        <v>31</v>
      </c>
      <c r="D115" s="2" t="s">
        <v>18</v>
      </c>
      <c r="E115" s="2" t="s">
        <v>29</v>
      </c>
      <c r="F115" s="2" t="s">
        <v>30</v>
      </c>
      <c r="G115" s="2" t="s">
        <v>14</v>
      </c>
      <c r="H115" s="2" t="s">
        <v>31</v>
      </c>
      <c r="I115" s="3">
        <v>46308</v>
      </c>
      <c r="J115" s="2">
        <v>3600</v>
      </c>
    </row>
    <row r="116" spans="1:10" x14ac:dyDescent="0.6">
      <c r="A116" s="2" t="s">
        <v>246</v>
      </c>
      <c r="B116" s="2" t="s">
        <v>247</v>
      </c>
      <c r="C116" s="2">
        <v>49</v>
      </c>
      <c r="D116" s="2" t="s">
        <v>11</v>
      </c>
      <c r="E116" s="2" t="s">
        <v>24</v>
      </c>
      <c r="F116" s="2" t="s">
        <v>25</v>
      </c>
      <c r="G116" s="2" t="s">
        <v>14</v>
      </c>
      <c r="H116" s="2" t="s">
        <v>15</v>
      </c>
      <c r="I116" s="3">
        <v>46308</v>
      </c>
      <c r="J116" s="2">
        <v>9100</v>
      </c>
    </row>
    <row r="117" spans="1:10" x14ac:dyDescent="0.6">
      <c r="A117" s="2" t="s">
        <v>248</v>
      </c>
      <c r="B117" s="2" t="s">
        <v>249</v>
      </c>
      <c r="C117" s="2">
        <v>34</v>
      </c>
      <c r="D117" s="2" t="s">
        <v>18</v>
      </c>
      <c r="E117" s="2" t="s">
        <v>19</v>
      </c>
      <c r="F117" s="2" t="s">
        <v>20</v>
      </c>
      <c r="G117" s="2" t="s">
        <v>14</v>
      </c>
      <c r="H117" s="2" t="s">
        <v>21</v>
      </c>
      <c r="I117" s="3">
        <v>46308</v>
      </c>
      <c r="J117" s="2">
        <v>6800</v>
      </c>
    </row>
    <row r="118" spans="1:10" x14ac:dyDescent="0.6">
      <c r="A118" s="2" t="s">
        <v>250</v>
      </c>
      <c r="B118" s="2" t="s">
        <v>251</v>
      </c>
      <c r="C118" s="2">
        <v>26</v>
      </c>
      <c r="D118" s="2" t="s">
        <v>11</v>
      </c>
      <c r="E118" s="2" t="s">
        <v>39</v>
      </c>
      <c r="F118" s="2" t="s">
        <v>40</v>
      </c>
      <c r="G118" s="2" t="s">
        <v>14</v>
      </c>
      <c r="H118" s="2" t="s">
        <v>31</v>
      </c>
      <c r="I118" s="3">
        <v>46309</v>
      </c>
      <c r="J118" s="2">
        <v>2900</v>
      </c>
    </row>
    <row r="119" spans="1:10" x14ac:dyDescent="0.6">
      <c r="A119" s="2" t="s">
        <v>252</v>
      </c>
      <c r="B119" s="2" t="s">
        <v>253</v>
      </c>
      <c r="C119" s="2">
        <v>52</v>
      </c>
      <c r="D119" s="2" t="s">
        <v>18</v>
      </c>
      <c r="E119" s="2" t="s">
        <v>12</v>
      </c>
      <c r="F119" s="2" t="s">
        <v>13</v>
      </c>
      <c r="G119" s="2" t="s">
        <v>26</v>
      </c>
      <c r="H119" s="2" t="s">
        <v>15</v>
      </c>
      <c r="I119" s="3">
        <v>46309</v>
      </c>
      <c r="J119" s="2">
        <v>15000</v>
      </c>
    </row>
    <row r="120" spans="1:10" x14ac:dyDescent="0.6">
      <c r="A120" s="2" t="s">
        <v>254</v>
      </c>
      <c r="B120" s="2" t="s">
        <v>255</v>
      </c>
      <c r="C120" s="2">
        <v>43</v>
      </c>
      <c r="D120" s="2" t="s">
        <v>11</v>
      </c>
      <c r="E120" s="2" t="s">
        <v>24</v>
      </c>
      <c r="F120" s="2" t="s">
        <v>25</v>
      </c>
      <c r="G120" s="2" t="s">
        <v>34</v>
      </c>
      <c r="H120" s="2" t="s">
        <v>21</v>
      </c>
      <c r="I120" s="3">
        <v>46309</v>
      </c>
      <c r="J120" s="2">
        <v>20500</v>
      </c>
    </row>
    <row r="121" spans="1:10" x14ac:dyDescent="0.6">
      <c r="A121" s="2" t="s">
        <v>256</v>
      </c>
      <c r="B121" s="2" t="s">
        <v>74</v>
      </c>
      <c r="C121" s="2">
        <v>27</v>
      </c>
      <c r="D121" s="2" t="s">
        <v>18</v>
      </c>
      <c r="E121" s="2" t="s">
        <v>29</v>
      </c>
      <c r="F121" s="2" t="s">
        <v>30</v>
      </c>
      <c r="G121" s="2" t="s">
        <v>14</v>
      </c>
      <c r="H121" s="2" t="s">
        <v>31</v>
      </c>
      <c r="I121" s="3">
        <v>46310</v>
      </c>
      <c r="J121" s="2">
        <v>3100</v>
      </c>
    </row>
    <row r="122" spans="1:10" x14ac:dyDescent="0.6">
      <c r="A122" s="2" t="s">
        <v>257</v>
      </c>
      <c r="B122" s="2" t="s">
        <v>258</v>
      </c>
      <c r="C122" s="2">
        <v>56</v>
      </c>
      <c r="D122" s="2" t="s">
        <v>11</v>
      </c>
      <c r="E122" s="2" t="s">
        <v>19</v>
      </c>
      <c r="F122" s="2" t="s">
        <v>20</v>
      </c>
      <c r="G122" s="2" t="s">
        <v>34</v>
      </c>
      <c r="H122" s="2" t="s">
        <v>15</v>
      </c>
      <c r="I122" s="3">
        <v>46310</v>
      </c>
      <c r="J122" s="2">
        <v>18500</v>
      </c>
    </row>
    <row r="123" spans="1:10" x14ac:dyDescent="0.6">
      <c r="A123" s="2" t="s">
        <v>259</v>
      </c>
      <c r="B123" s="2" t="s">
        <v>108</v>
      </c>
      <c r="C123" s="2">
        <v>39</v>
      </c>
      <c r="D123" s="2" t="s">
        <v>18</v>
      </c>
      <c r="E123" s="2" t="s">
        <v>39</v>
      </c>
      <c r="F123" s="2" t="s">
        <v>40</v>
      </c>
      <c r="G123" s="2" t="s">
        <v>14</v>
      </c>
      <c r="H123" s="2" t="s">
        <v>21</v>
      </c>
      <c r="I123" s="3">
        <v>46310</v>
      </c>
      <c r="J123" s="2">
        <v>4200</v>
      </c>
    </row>
    <row r="124" spans="1:10" x14ac:dyDescent="0.6">
      <c r="A124" s="2" t="s">
        <v>260</v>
      </c>
      <c r="B124" s="2" t="s">
        <v>261</v>
      </c>
      <c r="C124" s="2">
        <v>50</v>
      </c>
      <c r="D124" s="2" t="s">
        <v>11</v>
      </c>
      <c r="E124" s="2" t="s">
        <v>12</v>
      </c>
      <c r="F124" s="2" t="s">
        <v>13</v>
      </c>
      <c r="G124" s="2" t="s">
        <v>14</v>
      </c>
      <c r="H124" s="2" t="s">
        <v>15</v>
      </c>
      <c r="I124" s="3">
        <v>46311</v>
      </c>
      <c r="J124" s="2">
        <v>8200</v>
      </c>
    </row>
    <row r="125" spans="1:10" x14ac:dyDescent="0.6">
      <c r="A125" s="2" t="s">
        <v>262</v>
      </c>
      <c r="B125" s="2" t="s">
        <v>100</v>
      </c>
      <c r="C125" s="2">
        <v>24</v>
      </c>
      <c r="D125" s="2" t="s">
        <v>18</v>
      </c>
      <c r="E125" s="2" t="s">
        <v>29</v>
      </c>
      <c r="F125" s="2" t="s">
        <v>30</v>
      </c>
      <c r="G125" s="2" t="s">
        <v>14</v>
      </c>
      <c r="H125" s="2" t="s">
        <v>31</v>
      </c>
      <c r="I125" s="3">
        <v>46311</v>
      </c>
      <c r="J125" s="2">
        <v>2800</v>
      </c>
    </row>
    <row r="126" spans="1:10" x14ac:dyDescent="0.6">
      <c r="A126" s="2" t="s">
        <v>263</v>
      </c>
      <c r="B126" s="2" t="s">
        <v>264</v>
      </c>
      <c r="C126" s="2">
        <v>62</v>
      </c>
      <c r="D126" s="2" t="s">
        <v>11</v>
      </c>
      <c r="E126" s="2" t="s">
        <v>24</v>
      </c>
      <c r="F126" s="2" t="s">
        <v>25</v>
      </c>
      <c r="G126" s="2" t="s">
        <v>26</v>
      </c>
      <c r="H126" s="3" t="s">
        <v>15</v>
      </c>
      <c r="I126" s="3">
        <v>46311</v>
      </c>
      <c r="J126" s="2">
        <v>14500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Practice File</vt:lpstr>
      <vt:lpstr>Total Patient By Departments</vt:lpstr>
      <vt:lpstr>Dashboard</vt:lpstr>
      <vt:lpstr>Total Bil_ Amount By Departmen </vt:lpstr>
      <vt:lpstr>Visit_type Wise Total Patients</vt:lpstr>
      <vt:lpstr>Total Amount by  Payment_method</vt:lpstr>
      <vt:lpstr>Total Patients Months Wise</vt:lpstr>
      <vt:lpstr>Total Bill_Amount By Visit_type</vt:lpstr>
      <vt:lpstr>Sheet1</vt:lpstr>
      <vt:lpstr>HMS DATA</vt:lpstr>
    </vt:vector>
  </TitlesOfParts>
  <Company>MRT www.Win2Farsi.com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Moorche</dc:creator>
  <cp:lastModifiedBy>Moorche</cp:lastModifiedBy>
  <dcterms:created xsi:type="dcterms:W3CDTF">2026-09-13T19:48:33Z</dcterms:created>
  <dcterms:modified xsi:type="dcterms:W3CDTF">2026-09-17T15:05:56Z</dcterms:modified>
</cp:coreProperties>
</file>